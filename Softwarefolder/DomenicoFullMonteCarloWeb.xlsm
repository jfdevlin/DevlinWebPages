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65" yWindow="165" windowWidth="18450" windowHeight="11025"/>
  </bookViews>
  <sheets>
    <sheet name="Instructions" sheetId="4" r:id="rId1"/>
    <sheet name="3Dwt" sheetId="2" r:id="rId2"/>
  </sheets>
  <definedNames>
    <definedName name="ax" localSheetId="1">'3Dwt'!$C$7</definedName>
    <definedName name="ay" localSheetId="1">'3Dwt'!$C$8</definedName>
    <definedName name="az" localSheetId="1">'3Dwt'!$C$9</definedName>
    <definedName name="Co" localSheetId="1">'3Dwt'!$C$6</definedName>
    <definedName name="d" localSheetId="1">'3Dwt'!$C$14</definedName>
    <definedName name="dx">'3Dwt'!$C$17</definedName>
    <definedName name="dy">'3Dwt'!$C$18</definedName>
    <definedName name="k" localSheetId="1">'3Dwt'!$C$12</definedName>
    <definedName name="n">#REF!</definedName>
    <definedName name="_xlnm.Print_Area" localSheetId="1">'3Dwt'!$A$1:$W$54</definedName>
    <definedName name="t" localSheetId="1">'3Dwt'!$C$22</definedName>
    <definedName name="v" localSheetId="1">'3Dwt'!$C$20</definedName>
    <definedName name="Y" localSheetId="1">'3Dwt'!$C$16</definedName>
    <definedName name="Z" localSheetId="1">'3Dwt'!$C$15</definedName>
  </definedNames>
  <calcPr calcId="145621"/>
</workbook>
</file>

<file path=xl/calcChain.xml><?xml version="1.0" encoding="utf-8"?>
<calcChain xmlns="http://schemas.openxmlformats.org/spreadsheetml/2006/main">
  <c r="AH3" i="2" l="1"/>
  <c r="AR3" i="2"/>
  <c r="AH5" i="2"/>
  <c r="AR5" i="2"/>
  <c r="AH6" i="2"/>
  <c r="AR6" i="2"/>
  <c r="AH7" i="2"/>
  <c r="AR7" i="2"/>
  <c r="AH8" i="2"/>
  <c r="AR8" i="2"/>
  <c r="AH9" i="2"/>
  <c r="AR9" i="2"/>
  <c r="AH10" i="2"/>
  <c r="AR10" i="2"/>
  <c r="AH11" i="2"/>
  <c r="AR11" i="2"/>
  <c r="AH12" i="2"/>
  <c r="AR12" i="2"/>
  <c r="AH13" i="2"/>
  <c r="AR13" i="2"/>
  <c r="AH14" i="2"/>
  <c r="AR14" i="2"/>
  <c r="AH15" i="2"/>
  <c r="AR15" i="2"/>
  <c r="AH16" i="2"/>
  <c r="AR16" i="2"/>
  <c r="AH17" i="2"/>
  <c r="AR17" i="2"/>
  <c r="D19" i="2"/>
  <c r="AG19" i="2"/>
  <c r="AQ19" i="2"/>
  <c r="AR19" i="2"/>
  <c r="C20" i="2"/>
  <c r="C21" i="2" s="1"/>
  <c r="C22" i="2"/>
  <c r="D22" i="2"/>
  <c r="AG23" i="2"/>
  <c r="AD5" i="2" s="1"/>
  <c r="AQ23" i="2"/>
  <c r="AN5" i="2" s="1"/>
  <c r="AG24" i="2"/>
  <c r="AQ24" i="2"/>
  <c r="D33" i="2"/>
  <c r="E33" i="2" s="1"/>
  <c r="F33" i="2" s="1"/>
  <c r="G33" i="2" s="1"/>
  <c r="H33" i="2" s="1"/>
  <c r="I33" i="2" s="1"/>
  <c r="J33" i="2" s="1"/>
  <c r="K33" i="2" s="1"/>
  <c r="L33" i="2" s="1"/>
  <c r="M33" i="2" s="1"/>
  <c r="N33" i="2" s="1"/>
  <c r="O33" i="2" s="1"/>
  <c r="P33" i="2" s="1"/>
  <c r="Q33" i="2" s="1"/>
  <c r="R33" i="2" s="1"/>
  <c r="S33" i="2" s="1"/>
  <c r="T33" i="2" s="1"/>
  <c r="U33" i="2" s="1"/>
  <c r="V33" i="2" s="1"/>
  <c r="W33" i="2" s="1"/>
  <c r="A43" i="2"/>
  <c r="B44" i="2"/>
  <c r="C44" i="2"/>
  <c r="A45" i="2"/>
  <c r="B45" i="2" s="1"/>
  <c r="A46" i="2"/>
  <c r="C46" i="2" s="1"/>
  <c r="AH53" i="2"/>
  <c r="AR53" i="2"/>
  <c r="AH55" i="2"/>
  <c r="AR55" i="2"/>
  <c r="AH56" i="2"/>
  <c r="AR56" i="2"/>
  <c r="D57" i="2"/>
  <c r="D59" i="2" s="1"/>
  <c r="AH57" i="2"/>
  <c r="AR57" i="2"/>
  <c r="AH58" i="2"/>
  <c r="AR58" i="2"/>
  <c r="AH59" i="2"/>
  <c r="AR59" i="2"/>
  <c r="AH60" i="2"/>
  <c r="AR60" i="2"/>
  <c r="AH61" i="2"/>
  <c r="AR61" i="2"/>
  <c r="AH62" i="2"/>
  <c r="AR62" i="2"/>
  <c r="AH63" i="2"/>
  <c r="AR63" i="2"/>
  <c r="AH64" i="2"/>
  <c r="AR64" i="2"/>
  <c r="AH65" i="2"/>
  <c r="AR65" i="2"/>
  <c r="AH66" i="2"/>
  <c r="AR66" i="2"/>
  <c r="A67" i="2"/>
  <c r="A66" i="2" s="1"/>
  <c r="A65" i="2" s="1"/>
  <c r="A64" i="2" s="1"/>
  <c r="A63" i="2" s="1"/>
  <c r="A62" i="2" s="1"/>
  <c r="A61" i="2" s="1"/>
  <c r="A60" i="2" s="1"/>
  <c r="A59" i="2" s="1"/>
  <c r="A58" i="2" s="1"/>
  <c r="AH67" i="2"/>
  <c r="AR67" i="2"/>
  <c r="A69" i="2"/>
  <c r="A70" i="2" s="1"/>
  <c r="A71" i="2" s="1"/>
  <c r="A72" i="2" s="1"/>
  <c r="A73" i="2" s="1"/>
  <c r="A74" i="2" s="1"/>
  <c r="A75" i="2" s="1"/>
  <c r="A76" i="2" s="1"/>
  <c r="A77" i="2" s="1"/>
  <c r="A78" i="2" s="1"/>
  <c r="AG69" i="2"/>
  <c r="AQ69" i="2"/>
  <c r="AG73" i="2"/>
  <c r="AD55" i="2" s="1"/>
  <c r="AQ73" i="2"/>
  <c r="AN55" i="2" s="1"/>
  <c r="AG74" i="2"/>
  <c r="AQ74" i="2"/>
  <c r="D82" i="2"/>
  <c r="E82" i="2" s="1"/>
  <c r="A92" i="2"/>
  <c r="A91" i="2" s="1"/>
  <c r="A90" i="2" s="1"/>
  <c r="A89" i="2" s="1"/>
  <c r="A88" i="2" s="1"/>
  <c r="A87" i="2" s="1"/>
  <c r="A86" i="2" s="1"/>
  <c r="A85" i="2" s="1"/>
  <c r="A84" i="2" s="1"/>
  <c r="A83" i="2" s="1"/>
  <c r="A94" i="2"/>
  <c r="A95" i="2" s="1"/>
  <c r="A96" i="2" s="1"/>
  <c r="A97" i="2" s="1"/>
  <c r="A98" i="2" s="1"/>
  <c r="A99" i="2" s="1"/>
  <c r="A100" i="2" s="1"/>
  <c r="A101" i="2" s="1"/>
  <c r="A102" i="2" s="1"/>
  <c r="A103" i="2" s="1"/>
  <c r="D106" i="2"/>
  <c r="E106" i="2" s="1"/>
  <c r="A116" i="2"/>
  <c r="A115" i="2" s="1"/>
  <c r="C115" i="2" s="1"/>
  <c r="C117" i="2"/>
  <c r="A118" i="2"/>
  <c r="D118" i="2" s="1"/>
  <c r="J129" i="2"/>
  <c r="D130" i="2"/>
  <c r="E130" i="2" s="1"/>
  <c r="A140" i="2"/>
  <c r="A142" i="2"/>
  <c r="D142" i="2" s="1"/>
  <c r="D155" i="2"/>
  <c r="E155" i="2" s="1"/>
  <c r="D161" i="2"/>
  <c r="A165" i="2"/>
  <c r="A164" i="2" s="1"/>
  <c r="A163" i="2" s="1"/>
  <c r="A162" i="2" s="1"/>
  <c r="A161" i="2" s="1"/>
  <c r="A160" i="2" s="1"/>
  <c r="A159" i="2" s="1"/>
  <c r="A158" i="2" s="1"/>
  <c r="A157" i="2" s="1"/>
  <c r="A156" i="2" s="1"/>
  <c r="D166" i="2"/>
  <c r="A167" i="2"/>
  <c r="D167" i="2"/>
  <c r="A168" i="2"/>
  <c r="A169" i="2" s="1"/>
  <c r="A170" i="2" s="1"/>
  <c r="A171" i="2" s="1"/>
  <c r="A172" i="2" s="1"/>
  <c r="A173" i="2" s="1"/>
  <c r="A174" i="2" s="1"/>
  <c r="A175" i="2" s="1"/>
  <c r="A176" i="2" s="1"/>
  <c r="D168" i="2"/>
  <c r="D169" i="2"/>
  <c r="D170" i="2"/>
  <c r="D171" i="2"/>
  <c r="D172" i="2"/>
  <c r="D173" i="2"/>
  <c r="D174" i="2"/>
  <c r="D175" i="2"/>
  <c r="D176" i="2"/>
  <c r="D180" i="2"/>
  <c r="E180" i="2" s="1"/>
  <c r="A190" i="2"/>
  <c r="A189" i="2" s="1"/>
  <c r="A188" i="2" s="1"/>
  <c r="A187" i="2" s="1"/>
  <c r="A186" i="2" s="1"/>
  <c r="A185" i="2" s="1"/>
  <c r="A184" i="2" s="1"/>
  <c r="A183" i="2" s="1"/>
  <c r="A182" i="2" s="1"/>
  <c r="A181" i="2" s="1"/>
  <c r="D190" i="2"/>
  <c r="D191" i="2"/>
  <c r="A192" i="2"/>
  <c r="D192" i="2"/>
  <c r="A193" i="2"/>
  <c r="A194" i="2" s="1"/>
  <c r="A195" i="2" s="1"/>
  <c r="A196" i="2" s="1"/>
  <c r="A197" i="2" s="1"/>
  <c r="A198" i="2" s="1"/>
  <c r="A199" i="2" s="1"/>
  <c r="A200" i="2" s="1"/>
  <c r="A201" i="2" s="1"/>
  <c r="D193" i="2"/>
  <c r="D194" i="2"/>
  <c r="D195" i="2"/>
  <c r="D196" i="2"/>
  <c r="D197" i="2"/>
  <c r="D198" i="2"/>
  <c r="D199" i="2"/>
  <c r="D200" i="2"/>
  <c r="D201" i="2"/>
  <c r="D163" i="2" l="1"/>
  <c r="D158" i="2"/>
  <c r="A119" i="2"/>
  <c r="D117" i="2"/>
  <c r="C45" i="2"/>
  <c r="D65" i="2"/>
  <c r="D189" i="2"/>
  <c r="D185" i="2"/>
  <c r="D165" i="2"/>
  <c r="D164" i="2"/>
  <c r="D162" i="2"/>
  <c r="D160" i="2"/>
  <c r="D156" i="2"/>
  <c r="A143" i="2"/>
  <c r="E157" i="2"/>
  <c r="E159" i="2"/>
  <c r="E163" i="2"/>
  <c r="E165" i="2"/>
  <c r="E166" i="2"/>
  <c r="E161" i="2"/>
  <c r="E168" i="2"/>
  <c r="E170" i="2"/>
  <c r="E172" i="2"/>
  <c r="E174" i="2"/>
  <c r="E176" i="2"/>
  <c r="D188" i="2"/>
  <c r="D184" i="2"/>
  <c r="D159" i="2"/>
  <c r="D157" i="2"/>
  <c r="D116" i="2"/>
  <c r="D181" i="2"/>
  <c r="C116" i="2"/>
  <c r="E116" i="2"/>
  <c r="E141" i="2"/>
  <c r="E143" i="2"/>
  <c r="E184" i="2"/>
  <c r="E188" i="2"/>
  <c r="E190" i="2"/>
  <c r="E193" i="2"/>
  <c r="E195" i="2"/>
  <c r="E197" i="2"/>
  <c r="E199" i="2"/>
  <c r="E201" i="2"/>
  <c r="E182" i="2"/>
  <c r="E186" i="2"/>
  <c r="D187" i="2"/>
  <c r="D186" i="2"/>
  <c r="D183" i="2"/>
  <c r="D182" i="2"/>
  <c r="D141" i="2"/>
  <c r="AQ25" i="2"/>
  <c r="AS5" i="2" s="1"/>
  <c r="AQ75" i="2"/>
  <c r="AS62" i="2" s="1"/>
  <c r="D93" i="2"/>
  <c r="D90" i="2"/>
  <c r="E84" i="2"/>
  <c r="D87" i="2"/>
  <c r="D78" i="2"/>
  <c r="AG75" i="2"/>
  <c r="AI58" i="2" s="1"/>
  <c r="E103" i="2"/>
  <c r="E101" i="2"/>
  <c r="E99" i="2"/>
  <c r="E97" i="2"/>
  <c r="E95" i="2"/>
  <c r="D92" i="2"/>
  <c r="D91" i="2"/>
  <c r="E88" i="2"/>
  <c r="D86" i="2"/>
  <c r="D83" i="2"/>
  <c r="D80" i="2"/>
  <c r="D76" i="2"/>
  <c r="D74" i="2"/>
  <c r="D73" i="2"/>
  <c r="D70" i="2"/>
  <c r="D103" i="2"/>
  <c r="D102" i="2"/>
  <c r="D101" i="2"/>
  <c r="D100" i="2"/>
  <c r="D99" i="2"/>
  <c r="D98" i="2"/>
  <c r="D97" i="2"/>
  <c r="D96" i="2"/>
  <c r="D95" i="2"/>
  <c r="D94" i="2"/>
  <c r="E93" i="2"/>
  <c r="E92" i="2"/>
  <c r="E90" i="2"/>
  <c r="D89" i="2"/>
  <c r="D88" i="2"/>
  <c r="E86" i="2"/>
  <c r="D85" i="2"/>
  <c r="D84" i="2"/>
  <c r="E80" i="2"/>
  <c r="D77" i="2"/>
  <c r="D75" i="2"/>
  <c r="D72" i="2"/>
  <c r="D71" i="2"/>
  <c r="D68" i="2"/>
  <c r="AR21" i="2"/>
  <c r="D67" i="2"/>
  <c r="D63" i="2"/>
  <c r="AG25" i="2"/>
  <c r="AI5" i="2" s="1"/>
  <c r="D61" i="2"/>
  <c r="AN6" i="2"/>
  <c r="AN7" i="2" s="1"/>
  <c r="AN8" i="2" s="1"/>
  <c r="AN9" i="2" s="1"/>
  <c r="AN10" i="2" s="1"/>
  <c r="AN11" i="2" s="1"/>
  <c r="AN12" i="2" s="1"/>
  <c r="AN13" i="2" s="1"/>
  <c r="AN14" i="2" s="1"/>
  <c r="AN15" i="2" s="1"/>
  <c r="AN16" i="2" s="1"/>
  <c r="AN17" i="2" s="1"/>
  <c r="F180" i="2"/>
  <c r="E181" i="2"/>
  <c r="E183" i="2"/>
  <c r="E185" i="2"/>
  <c r="E187" i="2"/>
  <c r="E189" i="2"/>
  <c r="E192" i="2"/>
  <c r="E194" i="2"/>
  <c r="E196" i="2"/>
  <c r="E198" i="2"/>
  <c r="E200" i="2"/>
  <c r="A139" i="2"/>
  <c r="D140" i="2"/>
  <c r="F130" i="2"/>
  <c r="F140" i="2" s="1"/>
  <c r="E142" i="2"/>
  <c r="C119" i="2"/>
  <c r="E119" i="2"/>
  <c r="D119" i="2"/>
  <c r="A120" i="2"/>
  <c r="F106" i="2"/>
  <c r="F115" i="2" s="1"/>
  <c r="E117" i="2"/>
  <c r="E191" i="2"/>
  <c r="F155" i="2"/>
  <c r="E156" i="2"/>
  <c r="E158" i="2"/>
  <c r="E160" i="2"/>
  <c r="E162" i="2"/>
  <c r="E164" i="2"/>
  <c r="E167" i="2"/>
  <c r="E169" i="2"/>
  <c r="E171" i="2"/>
  <c r="E173" i="2"/>
  <c r="E175" i="2"/>
  <c r="D143" i="2"/>
  <c r="A144" i="2"/>
  <c r="E140" i="2"/>
  <c r="C118" i="2"/>
  <c r="E118" i="2"/>
  <c r="A114" i="2"/>
  <c r="D115" i="2"/>
  <c r="E115" i="2"/>
  <c r="F82" i="2"/>
  <c r="E83" i="2"/>
  <c r="E85" i="2"/>
  <c r="E87" i="2"/>
  <c r="E89" i="2"/>
  <c r="E91" i="2"/>
  <c r="E94" i="2"/>
  <c r="E96" i="2"/>
  <c r="E98" i="2"/>
  <c r="E100" i="2"/>
  <c r="E102" i="2"/>
  <c r="AR69" i="2"/>
  <c r="AR71" i="2" s="1"/>
  <c r="AH69" i="2"/>
  <c r="AH71" i="2" s="1"/>
  <c r="E57" i="2"/>
  <c r="D58" i="2"/>
  <c r="D60" i="2"/>
  <c r="D62" i="2"/>
  <c r="D64" i="2"/>
  <c r="D66" i="2"/>
  <c r="D69" i="2"/>
  <c r="A42" i="2"/>
  <c r="B43" i="2"/>
  <c r="C43" i="2"/>
  <c r="B46" i="2"/>
  <c r="A47" i="2"/>
  <c r="AH19" i="2"/>
  <c r="AH21" i="2" s="1"/>
  <c r="AS17" i="2" l="1"/>
  <c r="AS58" i="2"/>
  <c r="D44" i="2"/>
  <c r="F143" i="2"/>
  <c r="AS55" i="2"/>
  <c r="AS9" i="2"/>
  <c r="AS13" i="2"/>
  <c r="AS7" i="2"/>
  <c r="AS11" i="2"/>
  <c r="AS15" i="2"/>
  <c r="AS6" i="2"/>
  <c r="AS8" i="2"/>
  <c r="AS10" i="2"/>
  <c r="AS12" i="2"/>
  <c r="AS14" i="2"/>
  <c r="AS16" i="2"/>
  <c r="AS60" i="2"/>
  <c r="AS61" i="2"/>
  <c r="AS66" i="2"/>
  <c r="AS65" i="2"/>
  <c r="AS57" i="2"/>
  <c r="AN56" i="2"/>
  <c r="AN57" i="2" s="1"/>
  <c r="AN58" i="2" s="1"/>
  <c r="AN59" i="2" s="1"/>
  <c r="AN60" i="2" s="1"/>
  <c r="AN61" i="2" s="1"/>
  <c r="AN62" i="2" s="1"/>
  <c r="AN63" i="2" s="1"/>
  <c r="AN64" i="2" s="1"/>
  <c r="AN65" i="2" s="1"/>
  <c r="AN66" i="2" s="1"/>
  <c r="AN67" i="2" s="1"/>
  <c r="AS64" i="2"/>
  <c r="AS67" i="2"/>
  <c r="AS63" i="2"/>
  <c r="AS59" i="2"/>
  <c r="AS56" i="2"/>
  <c r="AI57" i="2"/>
  <c r="AD56" i="2"/>
  <c r="AD57" i="2" s="1"/>
  <c r="AD58" i="2" s="1"/>
  <c r="AD59" i="2" s="1"/>
  <c r="AD60" i="2" s="1"/>
  <c r="AD61" i="2" s="1"/>
  <c r="AD62" i="2" s="1"/>
  <c r="AD63" i="2" s="1"/>
  <c r="AD64" i="2" s="1"/>
  <c r="AD65" i="2" s="1"/>
  <c r="AD66" i="2" s="1"/>
  <c r="AD67" i="2" s="1"/>
  <c r="AI64" i="2"/>
  <c r="AI59" i="2"/>
  <c r="AI65" i="2"/>
  <c r="AI55" i="2"/>
  <c r="AI60" i="2"/>
  <c r="AI63" i="2"/>
  <c r="AI67" i="2"/>
  <c r="AI61" i="2"/>
  <c r="AI56" i="2"/>
  <c r="AI66" i="2"/>
  <c r="AI62" i="2"/>
  <c r="AI12" i="2"/>
  <c r="D43" i="2"/>
  <c r="D45" i="2"/>
  <c r="AI16" i="2"/>
  <c r="AI8" i="2"/>
  <c r="AD6" i="2"/>
  <c r="AD7" i="2" s="1"/>
  <c r="AD8" i="2" s="1"/>
  <c r="AD9" i="2" s="1"/>
  <c r="AD10" i="2" s="1"/>
  <c r="AD11" i="2" s="1"/>
  <c r="AD12" i="2" s="1"/>
  <c r="AD13" i="2" s="1"/>
  <c r="AD14" i="2" s="1"/>
  <c r="AD15" i="2" s="1"/>
  <c r="AD16" i="2" s="1"/>
  <c r="AD17" i="2" s="1"/>
  <c r="AI14" i="2"/>
  <c r="AI10" i="2"/>
  <c r="AI6" i="2"/>
  <c r="AI17" i="2"/>
  <c r="AI15" i="2"/>
  <c r="AI13" i="2"/>
  <c r="AI11" i="2"/>
  <c r="AI9" i="2"/>
  <c r="AI7" i="2"/>
  <c r="D46" i="2"/>
  <c r="E59" i="2"/>
  <c r="E61" i="2"/>
  <c r="E63" i="2"/>
  <c r="E65" i="2"/>
  <c r="E67" i="2"/>
  <c r="E43" i="2" s="1"/>
  <c r="E68" i="2"/>
  <c r="E44" i="2" s="1"/>
  <c r="E60" i="2"/>
  <c r="E64" i="2"/>
  <c r="E71" i="2"/>
  <c r="E73" i="2"/>
  <c r="E75" i="2"/>
  <c r="E77" i="2"/>
  <c r="F57" i="2"/>
  <c r="E66" i="2"/>
  <c r="E70" i="2"/>
  <c r="E46" i="2" s="1"/>
  <c r="E72" i="2"/>
  <c r="E76" i="2"/>
  <c r="E78" i="2"/>
  <c r="E58" i="2"/>
  <c r="E62" i="2"/>
  <c r="E74" i="2"/>
  <c r="E69" i="2"/>
  <c r="E45" i="2" s="1"/>
  <c r="F84" i="2"/>
  <c r="F86" i="2"/>
  <c r="F88" i="2"/>
  <c r="F90" i="2"/>
  <c r="F92" i="2"/>
  <c r="F93" i="2"/>
  <c r="F95" i="2"/>
  <c r="F97" i="2"/>
  <c r="F99" i="2"/>
  <c r="F101" i="2"/>
  <c r="F103" i="2"/>
  <c r="G82" i="2"/>
  <c r="F83" i="2"/>
  <c r="F87" i="2"/>
  <c r="F91" i="2"/>
  <c r="F85" i="2"/>
  <c r="F89" i="2"/>
  <c r="F94" i="2"/>
  <c r="F96" i="2"/>
  <c r="F98" i="2"/>
  <c r="F100" i="2"/>
  <c r="F102" i="2"/>
  <c r="A113" i="2"/>
  <c r="D114" i="2"/>
  <c r="F114" i="2"/>
  <c r="C114" i="2"/>
  <c r="E114" i="2"/>
  <c r="F157" i="2"/>
  <c r="F159" i="2"/>
  <c r="F161" i="2"/>
  <c r="F163" i="2"/>
  <c r="F165" i="2"/>
  <c r="F166" i="2"/>
  <c r="F168" i="2"/>
  <c r="F170" i="2"/>
  <c r="F172" i="2"/>
  <c r="F174" i="2"/>
  <c r="F176" i="2"/>
  <c r="G155" i="2"/>
  <c r="F156" i="2"/>
  <c r="F158" i="2"/>
  <c r="F160" i="2"/>
  <c r="F162" i="2"/>
  <c r="F164" i="2"/>
  <c r="F167" i="2"/>
  <c r="F169" i="2"/>
  <c r="F171" i="2"/>
  <c r="F173" i="2"/>
  <c r="F175" i="2"/>
  <c r="F116" i="2"/>
  <c r="G106" i="2"/>
  <c r="G114" i="2" s="1"/>
  <c r="F118" i="2"/>
  <c r="F117" i="2"/>
  <c r="E139" i="2"/>
  <c r="A138" i="2"/>
  <c r="F139" i="2"/>
  <c r="D139" i="2"/>
  <c r="D42" i="2" s="1"/>
  <c r="C47" i="2"/>
  <c r="B47" i="2"/>
  <c r="A48" i="2"/>
  <c r="C42" i="2"/>
  <c r="A41" i="2"/>
  <c r="B42" i="2"/>
  <c r="F119" i="2"/>
  <c r="E144" i="2"/>
  <c r="F144" i="2"/>
  <c r="D144" i="2"/>
  <c r="A145" i="2"/>
  <c r="C120" i="2"/>
  <c r="E120" i="2"/>
  <c r="G120" i="2"/>
  <c r="F120" i="2"/>
  <c r="A121" i="2"/>
  <c r="D120" i="2"/>
  <c r="F141" i="2"/>
  <c r="G130" i="2"/>
  <c r="G144" i="2" s="1"/>
  <c r="F142" i="2"/>
  <c r="F182" i="2"/>
  <c r="F184" i="2"/>
  <c r="F186" i="2"/>
  <c r="F188" i="2"/>
  <c r="F190" i="2"/>
  <c r="F191" i="2"/>
  <c r="F193" i="2"/>
  <c r="F195" i="2"/>
  <c r="F197" i="2"/>
  <c r="F199" i="2"/>
  <c r="F201" i="2"/>
  <c r="G180" i="2"/>
  <c r="F181" i="2"/>
  <c r="F183" i="2"/>
  <c r="F185" i="2"/>
  <c r="F187" i="2"/>
  <c r="F189" i="2"/>
  <c r="F192" i="2"/>
  <c r="F194" i="2"/>
  <c r="F196" i="2"/>
  <c r="F198" i="2"/>
  <c r="F200" i="2"/>
  <c r="AS20" i="2" l="1"/>
  <c r="AT14" i="2" s="1"/>
  <c r="AS70" i="2"/>
  <c r="AT61" i="2" s="1"/>
  <c r="AI70" i="2"/>
  <c r="AJ61" i="2" s="1"/>
  <c r="AI20" i="2"/>
  <c r="AJ15" i="2" s="1"/>
  <c r="E47" i="2"/>
  <c r="H180" i="2"/>
  <c r="G181" i="2"/>
  <c r="G183" i="2"/>
  <c r="G185" i="2"/>
  <c r="G187" i="2"/>
  <c r="G189" i="2"/>
  <c r="G192" i="2"/>
  <c r="G194" i="2"/>
  <c r="G196" i="2"/>
  <c r="G198" i="2"/>
  <c r="G200" i="2"/>
  <c r="G182" i="2"/>
  <c r="G184" i="2"/>
  <c r="G186" i="2"/>
  <c r="G188" i="2"/>
  <c r="G190" i="2"/>
  <c r="G193" i="2"/>
  <c r="G195" i="2"/>
  <c r="G197" i="2"/>
  <c r="G199" i="2"/>
  <c r="G201" i="2"/>
  <c r="G191" i="2"/>
  <c r="C121" i="2"/>
  <c r="E121" i="2"/>
  <c r="G121" i="2"/>
  <c r="D121" i="2"/>
  <c r="A122" i="2"/>
  <c r="F121" i="2"/>
  <c r="A137" i="2"/>
  <c r="D138" i="2"/>
  <c r="D41" i="2" s="1"/>
  <c r="F138" i="2"/>
  <c r="G138" i="2"/>
  <c r="E138" i="2"/>
  <c r="E41" i="2" s="1"/>
  <c r="A112" i="2"/>
  <c r="D113" i="2"/>
  <c r="F113" i="2"/>
  <c r="E113" i="2"/>
  <c r="G113" i="2"/>
  <c r="C113" i="2"/>
  <c r="G57" i="2"/>
  <c r="F58" i="2"/>
  <c r="F60" i="2"/>
  <c r="F62" i="2"/>
  <c r="F64" i="2"/>
  <c r="F66" i="2"/>
  <c r="F42" i="2" s="1"/>
  <c r="F69" i="2"/>
  <c r="F45" i="2" s="1"/>
  <c r="F59" i="2"/>
  <c r="F63" i="2"/>
  <c r="F70" i="2"/>
  <c r="F46" i="2" s="1"/>
  <c r="F72" i="2"/>
  <c r="F74" i="2"/>
  <c r="F76" i="2"/>
  <c r="F78" i="2"/>
  <c r="F61" i="2"/>
  <c r="F65" i="2"/>
  <c r="F41" i="2" s="1"/>
  <c r="F71" i="2"/>
  <c r="F47" i="2" s="1"/>
  <c r="F73" i="2"/>
  <c r="F75" i="2"/>
  <c r="F77" i="2"/>
  <c r="F67" i="2"/>
  <c r="F43" i="2" s="1"/>
  <c r="F68" i="2"/>
  <c r="F44" i="2" s="1"/>
  <c r="H130" i="2"/>
  <c r="G142" i="2"/>
  <c r="G141" i="2"/>
  <c r="G143" i="2"/>
  <c r="G140" i="2"/>
  <c r="D47" i="2"/>
  <c r="D145" i="2"/>
  <c r="F145" i="2"/>
  <c r="H145" i="2"/>
  <c r="A146" i="2"/>
  <c r="E145" i="2"/>
  <c r="E48" i="2" s="1"/>
  <c r="G145" i="2"/>
  <c r="A40" i="2"/>
  <c r="B41" i="2"/>
  <c r="C41" i="2"/>
  <c r="C48" i="2"/>
  <c r="B48" i="2"/>
  <c r="A49" i="2"/>
  <c r="G139" i="2"/>
  <c r="H106" i="2"/>
  <c r="G117" i="2"/>
  <c r="G116" i="2"/>
  <c r="G115" i="2"/>
  <c r="G119" i="2"/>
  <c r="G118" i="2"/>
  <c r="H155" i="2"/>
  <c r="G156" i="2"/>
  <c r="G158" i="2"/>
  <c r="G160" i="2"/>
  <c r="G162" i="2"/>
  <c r="G164" i="2"/>
  <c r="G167" i="2"/>
  <c r="G169" i="2"/>
  <c r="G171" i="2"/>
  <c r="G173" i="2"/>
  <c r="G175" i="2"/>
  <c r="G166" i="2"/>
  <c r="G157" i="2"/>
  <c r="G159" i="2"/>
  <c r="G161" i="2"/>
  <c r="G163" i="2"/>
  <c r="G165" i="2"/>
  <c r="G168" i="2"/>
  <c r="G170" i="2"/>
  <c r="G172" i="2"/>
  <c r="G174" i="2"/>
  <c r="G176" i="2"/>
  <c r="H82" i="2"/>
  <c r="G83" i="2"/>
  <c r="G85" i="2"/>
  <c r="G87" i="2"/>
  <c r="G89" i="2"/>
  <c r="G91" i="2"/>
  <c r="G94" i="2"/>
  <c r="G96" i="2"/>
  <c r="G98" i="2"/>
  <c r="G100" i="2"/>
  <c r="G102" i="2"/>
  <c r="G93" i="2"/>
  <c r="G86" i="2"/>
  <c r="G90" i="2"/>
  <c r="G92" i="2"/>
  <c r="G84" i="2"/>
  <c r="G88" i="2"/>
  <c r="G95" i="2"/>
  <c r="G97" i="2"/>
  <c r="G99" i="2"/>
  <c r="G101" i="2"/>
  <c r="G103" i="2"/>
  <c r="E42" i="2"/>
  <c r="AJ6" i="2" l="1"/>
  <c r="AT6" i="2"/>
  <c r="AT16" i="2"/>
  <c r="AT11" i="2"/>
  <c r="AT10" i="2"/>
  <c r="AT15" i="2"/>
  <c r="AT7" i="2"/>
  <c r="AT12" i="2"/>
  <c r="AT8" i="2"/>
  <c r="AT17" i="2"/>
  <c r="AU17" i="2" s="1"/>
  <c r="AT13" i="2"/>
  <c r="AT9" i="2"/>
  <c r="AT5" i="2"/>
  <c r="AT65" i="2"/>
  <c r="AT60" i="2"/>
  <c r="AT59" i="2"/>
  <c r="AT58" i="2"/>
  <c r="AT66" i="2"/>
  <c r="AT56" i="2"/>
  <c r="AJ62" i="2"/>
  <c r="AJ59" i="2"/>
  <c r="AT57" i="2"/>
  <c r="AT62" i="2"/>
  <c r="AT55" i="2"/>
  <c r="AT67" i="2"/>
  <c r="AU67" i="2" s="1"/>
  <c r="AT64" i="2"/>
  <c r="AT63" i="2"/>
  <c r="AJ66" i="2"/>
  <c r="AJ57" i="2"/>
  <c r="AJ56" i="2"/>
  <c r="AJ58" i="2"/>
  <c r="AJ63" i="2"/>
  <c r="AJ67" i="2"/>
  <c r="AK67" i="2" s="1"/>
  <c r="AJ65" i="2"/>
  <c r="AJ55" i="2"/>
  <c r="AJ60" i="2"/>
  <c r="AJ64" i="2"/>
  <c r="AJ11" i="2"/>
  <c r="AJ5" i="2"/>
  <c r="AJ17" i="2"/>
  <c r="AK17" i="2" s="1"/>
  <c r="AJ12" i="2"/>
  <c r="AJ9" i="2"/>
  <c r="AJ7" i="2"/>
  <c r="AJ16" i="2"/>
  <c r="AJ8" i="2"/>
  <c r="AJ13" i="2"/>
  <c r="AJ14" i="2"/>
  <c r="AJ10" i="2"/>
  <c r="H84" i="2"/>
  <c r="H86" i="2"/>
  <c r="H88" i="2"/>
  <c r="H90" i="2"/>
  <c r="H92" i="2"/>
  <c r="H93" i="2"/>
  <c r="H95" i="2"/>
  <c r="H97" i="2"/>
  <c r="H99" i="2"/>
  <c r="H101" i="2"/>
  <c r="H103" i="2"/>
  <c r="I82" i="2"/>
  <c r="H83" i="2"/>
  <c r="H85" i="2"/>
  <c r="H87" i="2"/>
  <c r="H89" i="2"/>
  <c r="H91" i="2"/>
  <c r="H94" i="2"/>
  <c r="H96" i="2"/>
  <c r="H98" i="2"/>
  <c r="H100" i="2"/>
  <c r="H102" i="2"/>
  <c r="B49" i="2"/>
  <c r="A50" i="2"/>
  <c r="C49" i="2"/>
  <c r="E146" i="2"/>
  <c r="G146" i="2"/>
  <c r="D146" i="2"/>
  <c r="H146" i="2"/>
  <c r="A147" i="2"/>
  <c r="F146" i="2"/>
  <c r="H141" i="2"/>
  <c r="H142" i="2"/>
  <c r="I130" i="2"/>
  <c r="H140" i="2"/>
  <c r="H143" i="2"/>
  <c r="H139" i="2"/>
  <c r="H144" i="2"/>
  <c r="A111" i="2"/>
  <c r="D112" i="2"/>
  <c r="F112" i="2"/>
  <c r="H112" i="2"/>
  <c r="C112" i="2"/>
  <c r="G112" i="2"/>
  <c r="E112" i="2"/>
  <c r="H138" i="2"/>
  <c r="D48" i="2"/>
  <c r="H157" i="2"/>
  <c r="H159" i="2"/>
  <c r="H161" i="2"/>
  <c r="H163" i="2"/>
  <c r="H165" i="2"/>
  <c r="H166" i="2"/>
  <c r="H168" i="2"/>
  <c r="H170" i="2"/>
  <c r="H172" i="2"/>
  <c r="H174" i="2"/>
  <c r="H176" i="2"/>
  <c r="I155" i="2"/>
  <c r="H156" i="2"/>
  <c r="H158" i="2"/>
  <c r="H160" i="2"/>
  <c r="H162" i="2"/>
  <c r="H164" i="2"/>
  <c r="H167" i="2"/>
  <c r="H169" i="2"/>
  <c r="H171" i="2"/>
  <c r="H173" i="2"/>
  <c r="H175" i="2"/>
  <c r="H116" i="2"/>
  <c r="H117" i="2"/>
  <c r="I106" i="2"/>
  <c r="H118" i="2"/>
  <c r="H119" i="2"/>
  <c r="H115" i="2"/>
  <c r="H114" i="2"/>
  <c r="H120" i="2"/>
  <c r="C40" i="2"/>
  <c r="A39" i="2"/>
  <c r="B40" i="2"/>
  <c r="F48" i="2"/>
  <c r="G59" i="2"/>
  <c r="G61" i="2"/>
  <c r="G63" i="2"/>
  <c r="G65" i="2"/>
  <c r="G41" i="2" s="1"/>
  <c r="G67" i="2"/>
  <c r="G43" i="2" s="1"/>
  <c r="G68" i="2"/>
  <c r="G44" i="2" s="1"/>
  <c r="H57" i="2"/>
  <c r="G58" i="2"/>
  <c r="G62" i="2"/>
  <c r="G66" i="2"/>
  <c r="G42" i="2" s="1"/>
  <c r="G69" i="2"/>
  <c r="G45" i="2" s="1"/>
  <c r="G71" i="2"/>
  <c r="G47" i="2" s="1"/>
  <c r="G73" i="2"/>
  <c r="G75" i="2"/>
  <c r="G77" i="2"/>
  <c r="G60" i="2"/>
  <c r="G64" i="2"/>
  <c r="G74" i="2"/>
  <c r="G72" i="2"/>
  <c r="G48" i="2" s="1"/>
  <c r="G76" i="2"/>
  <c r="G78" i="2"/>
  <c r="G70" i="2"/>
  <c r="G46" i="2" s="1"/>
  <c r="H113" i="2"/>
  <c r="E137" i="2"/>
  <c r="E40" i="2" s="1"/>
  <c r="G137" i="2"/>
  <c r="D137" i="2"/>
  <c r="D40" i="2" s="1"/>
  <c r="H137" i="2"/>
  <c r="A136" i="2"/>
  <c r="F137" i="2"/>
  <c r="F40" i="2" s="1"/>
  <c r="C122" i="2"/>
  <c r="E122" i="2"/>
  <c r="G122" i="2"/>
  <c r="I122" i="2"/>
  <c r="F122" i="2"/>
  <c r="D122" i="2"/>
  <c r="H122" i="2"/>
  <c r="A123" i="2"/>
  <c r="H121" i="2"/>
  <c r="H182" i="2"/>
  <c r="H184" i="2"/>
  <c r="H186" i="2"/>
  <c r="H188" i="2"/>
  <c r="H190" i="2"/>
  <c r="H191" i="2"/>
  <c r="H193" i="2"/>
  <c r="H195" i="2"/>
  <c r="H197" i="2"/>
  <c r="H199" i="2"/>
  <c r="H201" i="2"/>
  <c r="I180" i="2"/>
  <c r="H181" i="2"/>
  <c r="H183" i="2"/>
  <c r="H185" i="2"/>
  <c r="H187" i="2"/>
  <c r="H189" i="2"/>
  <c r="H192" i="2"/>
  <c r="H194" i="2"/>
  <c r="H196" i="2"/>
  <c r="H198" i="2"/>
  <c r="H200" i="2"/>
  <c r="AU16" i="2" l="1"/>
  <c r="AU15" i="2" s="1"/>
  <c r="AU14" i="2" s="1"/>
  <c r="AU13" i="2" s="1"/>
  <c r="AU12" i="2" s="1"/>
  <c r="AU11" i="2" s="1"/>
  <c r="AU10" i="2" s="1"/>
  <c r="AU9" i="2" s="1"/>
  <c r="AU8" i="2" s="1"/>
  <c r="AU7" i="2" s="1"/>
  <c r="AU6" i="2" s="1"/>
  <c r="AU5" i="2" s="1"/>
  <c r="AT22" i="2"/>
  <c r="AU66" i="2"/>
  <c r="AU65" i="2" s="1"/>
  <c r="AU64" i="2" s="1"/>
  <c r="AU63" i="2" s="1"/>
  <c r="AU62" i="2" s="1"/>
  <c r="AU61" i="2" s="1"/>
  <c r="AU60" i="2" s="1"/>
  <c r="AU59" i="2" s="1"/>
  <c r="AU58" i="2" s="1"/>
  <c r="AU57" i="2" s="1"/>
  <c r="AU56" i="2" s="1"/>
  <c r="AU55" i="2" s="1"/>
  <c r="AT72" i="2"/>
  <c r="AK66" i="2"/>
  <c r="AK65" i="2" s="1"/>
  <c r="AK64" i="2" s="1"/>
  <c r="AK63" i="2" s="1"/>
  <c r="AK62" i="2" s="1"/>
  <c r="AK61" i="2" s="1"/>
  <c r="AK60" i="2" s="1"/>
  <c r="AK59" i="2" s="1"/>
  <c r="AK58" i="2" s="1"/>
  <c r="AK57" i="2" s="1"/>
  <c r="AK56" i="2" s="1"/>
  <c r="AK55" i="2" s="1"/>
  <c r="AJ72" i="2"/>
  <c r="AJ22" i="2"/>
  <c r="AK16" i="2"/>
  <c r="AK15" i="2" s="1"/>
  <c r="AK14" i="2" s="1"/>
  <c r="AK13" i="2" s="1"/>
  <c r="AK12" i="2" s="1"/>
  <c r="AK11" i="2" s="1"/>
  <c r="AK10" i="2" s="1"/>
  <c r="AK9" i="2" s="1"/>
  <c r="AK8" i="2" s="1"/>
  <c r="AK7" i="2" s="1"/>
  <c r="AK6" i="2" s="1"/>
  <c r="AK5" i="2" s="1"/>
  <c r="F49" i="2"/>
  <c r="D49" i="2"/>
  <c r="E49" i="2"/>
  <c r="J180" i="2"/>
  <c r="I181" i="2"/>
  <c r="I183" i="2"/>
  <c r="I185" i="2"/>
  <c r="I187" i="2"/>
  <c r="I189" i="2"/>
  <c r="I192" i="2"/>
  <c r="I194" i="2"/>
  <c r="I196" i="2"/>
  <c r="I198" i="2"/>
  <c r="I200" i="2"/>
  <c r="I191" i="2"/>
  <c r="I182" i="2"/>
  <c r="I184" i="2"/>
  <c r="I186" i="2"/>
  <c r="I188" i="2"/>
  <c r="I190" i="2"/>
  <c r="I193" i="2"/>
  <c r="I195" i="2"/>
  <c r="I197" i="2"/>
  <c r="I199" i="2"/>
  <c r="I201" i="2"/>
  <c r="A135" i="2"/>
  <c r="D136" i="2"/>
  <c r="D39" i="2" s="1"/>
  <c r="F136" i="2"/>
  <c r="F39" i="2" s="1"/>
  <c r="H136" i="2"/>
  <c r="E136" i="2"/>
  <c r="E39" i="2" s="1"/>
  <c r="I136" i="2"/>
  <c r="G136" i="2"/>
  <c r="G39" i="2" s="1"/>
  <c r="G40" i="2"/>
  <c r="G49" i="2"/>
  <c r="I57" i="2"/>
  <c r="H58" i="2"/>
  <c r="H60" i="2"/>
  <c r="H62" i="2"/>
  <c r="H64" i="2"/>
  <c r="H40" i="2" s="1"/>
  <c r="H66" i="2"/>
  <c r="H42" i="2" s="1"/>
  <c r="H69" i="2"/>
  <c r="H45" i="2" s="1"/>
  <c r="H61" i="2"/>
  <c r="H65" i="2"/>
  <c r="H41" i="2" s="1"/>
  <c r="H67" i="2"/>
  <c r="H43" i="2" s="1"/>
  <c r="H68" i="2"/>
  <c r="H44" i="2" s="1"/>
  <c r="H70" i="2"/>
  <c r="H46" i="2" s="1"/>
  <c r="H72" i="2"/>
  <c r="H48" i="2" s="1"/>
  <c r="H74" i="2"/>
  <c r="H76" i="2"/>
  <c r="H78" i="2"/>
  <c r="H77" i="2"/>
  <c r="H59" i="2"/>
  <c r="H63" i="2"/>
  <c r="H73" i="2"/>
  <c r="H49" i="2" s="1"/>
  <c r="H75" i="2"/>
  <c r="H71" i="2"/>
  <c r="H47" i="2" s="1"/>
  <c r="J155" i="2"/>
  <c r="I156" i="2"/>
  <c r="I158" i="2"/>
  <c r="I160" i="2"/>
  <c r="I162" i="2"/>
  <c r="I164" i="2"/>
  <c r="I167" i="2"/>
  <c r="I169" i="2"/>
  <c r="I171" i="2"/>
  <c r="I173" i="2"/>
  <c r="I175" i="2"/>
  <c r="I157" i="2"/>
  <c r="I159" i="2"/>
  <c r="I161" i="2"/>
  <c r="I163" i="2"/>
  <c r="I165" i="2"/>
  <c r="I168" i="2"/>
  <c r="I170" i="2"/>
  <c r="I172" i="2"/>
  <c r="I174" i="2"/>
  <c r="I176" i="2"/>
  <c r="I166" i="2"/>
  <c r="J130" i="2"/>
  <c r="I142" i="2"/>
  <c r="I141" i="2"/>
  <c r="I143" i="2"/>
  <c r="I140" i="2"/>
  <c r="I144" i="2"/>
  <c r="I139" i="2"/>
  <c r="I138" i="2"/>
  <c r="I145" i="2"/>
  <c r="D147" i="2"/>
  <c r="F147" i="2"/>
  <c r="H147" i="2"/>
  <c r="J147" i="2"/>
  <c r="A148" i="2"/>
  <c r="G147" i="2"/>
  <c r="E147" i="2"/>
  <c r="I147" i="2"/>
  <c r="C50" i="2"/>
  <c r="A51" i="2"/>
  <c r="B50" i="2"/>
  <c r="C123" i="2"/>
  <c r="E123" i="2"/>
  <c r="G123" i="2"/>
  <c r="G50" i="2" s="1"/>
  <c r="I123" i="2"/>
  <c r="D123" i="2"/>
  <c r="H123" i="2"/>
  <c r="A124" i="2"/>
  <c r="F123" i="2"/>
  <c r="I137" i="2"/>
  <c r="A38" i="2"/>
  <c r="B39" i="2"/>
  <c r="C39" i="2"/>
  <c r="J106" i="2"/>
  <c r="I117" i="2"/>
  <c r="I116" i="2"/>
  <c r="I119" i="2"/>
  <c r="I118" i="2"/>
  <c r="I115" i="2"/>
  <c r="I114" i="2"/>
  <c r="I120" i="2"/>
  <c r="I121" i="2"/>
  <c r="I113" i="2"/>
  <c r="I112" i="2"/>
  <c r="A110" i="2"/>
  <c r="D111" i="2"/>
  <c r="F111" i="2"/>
  <c r="H111" i="2"/>
  <c r="E111" i="2"/>
  <c r="I111" i="2"/>
  <c r="C111" i="2"/>
  <c r="G111" i="2"/>
  <c r="I146" i="2"/>
  <c r="J82" i="2"/>
  <c r="I83" i="2"/>
  <c r="I85" i="2"/>
  <c r="I87" i="2"/>
  <c r="I89" i="2"/>
  <c r="I91" i="2"/>
  <c r="I94" i="2"/>
  <c r="I96" i="2"/>
  <c r="I98" i="2"/>
  <c r="I100" i="2"/>
  <c r="I102" i="2"/>
  <c r="I84" i="2"/>
  <c r="I86" i="2"/>
  <c r="I88" i="2"/>
  <c r="I90" i="2"/>
  <c r="I92" i="2"/>
  <c r="I95" i="2"/>
  <c r="I97" i="2"/>
  <c r="I99" i="2"/>
  <c r="I101" i="2"/>
  <c r="I103" i="2"/>
  <c r="I93" i="2"/>
  <c r="F50" i="2" l="1"/>
  <c r="J84" i="2"/>
  <c r="J86" i="2"/>
  <c r="J88" i="2"/>
  <c r="J90" i="2"/>
  <c r="J92" i="2"/>
  <c r="J93" i="2"/>
  <c r="J95" i="2"/>
  <c r="J97" i="2"/>
  <c r="J99" i="2"/>
  <c r="J101" i="2"/>
  <c r="J103" i="2"/>
  <c r="J85" i="2"/>
  <c r="J89" i="2"/>
  <c r="J94" i="2"/>
  <c r="J96" i="2"/>
  <c r="J98" i="2"/>
  <c r="J100" i="2"/>
  <c r="J102" i="2"/>
  <c r="K82" i="2"/>
  <c r="J83" i="2"/>
  <c r="J87" i="2"/>
  <c r="J91" i="2"/>
  <c r="J116" i="2"/>
  <c r="K106" i="2"/>
  <c r="J118" i="2"/>
  <c r="J117" i="2"/>
  <c r="J119" i="2"/>
  <c r="J115" i="2"/>
  <c r="J114" i="2"/>
  <c r="J120" i="2"/>
  <c r="J121" i="2"/>
  <c r="J113" i="2"/>
  <c r="J112" i="2"/>
  <c r="J122" i="2"/>
  <c r="J123" i="2"/>
  <c r="C124" i="2"/>
  <c r="E124" i="2"/>
  <c r="G124" i="2"/>
  <c r="F124" i="2"/>
  <c r="I124" i="2"/>
  <c r="K124" i="2"/>
  <c r="H124" i="2"/>
  <c r="A125" i="2"/>
  <c r="D124" i="2"/>
  <c r="J124" i="2"/>
  <c r="B51" i="2"/>
  <c r="A52" i="2"/>
  <c r="C51" i="2"/>
  <c r="E148" i="2"/>
  <c r="G148" i="2"/>
  <c r="I148" i="2"/>
  <c r="F148" i="2"/>
  <c r="J148" i="2"/>
  <c r="D148" i="2"/>
  <c r="H148" i="2"/>
  <c r="A149" i="2"/>
  <c r="H50" i="2"/>
  <c r="J111" i="2"/>
  <c r="A109" i="2"/>
  <c r="D110" i="2"/>
  <c r="F110" i="2"/>
  <c r="H110" i="2"/>
  <c r="J110" i="2"/>
  <c r="C110" i="2"/>
  <c r="G110" i="2"/>
  <c r="K110" i="2"/>
  <c r="I110" i="2"/>
  <c r="E110" i="2"/>
  <c r="C38" i="2"/>
  <c r="A37" i="2"/>
  <c r="B38" i="2"/>
  <c r="D50" i="2"/>
  <c r="E50" i="2"/>
  <c r="J141" i="2"/>
  <c r="K130" i="2"/>
  <c r="J142" i="2"/>
  <c r="J140" i="2"/>
  <c r="J143" i="2"/>
  <c r="J139" i="2"/>
  <c r="J144" i="2"/>
  <c r="J138" i="2"/>
  <c r="J145" i="2"/>
  <c r="J146" i="2"/>
  <c r="J137" i="2"/>
  <c r="J157" i="2"/>
  <c r="J159" i="2"/>
  <c r="J161" i="2"/>
  <c r="J163" i="2"/>
  <c r="J165" i="2"/>
  <c r="J166" i="2"/>
  <c r="J168" i="2"/>
  <c r="J170" i="2"/>
  <c r="J172" i="2"/>
  <c r="J174" i="2"/>
  <c r="J176" i="2"/>
  <c r="K155" i="2"/>
  <c r="J156" i="2"/>
  <c r="J158" i="2"/>
  <c r="J160" i="2"/>
  <c r="J162" i="2"/>
  <c r="J164" i="2"/>
  <c r="J167" i="2"/>
  <c r="J169" i="2"/>
  <c r="J171" i="2"/>
  <c r="J173" i="2"/>
  <c r="J175" i="2"/>
  <c r="H39" i="2"/>
  <c r="I59" i="2"/>
  <c r="I61" i="2"/>
  <c r="I63" i="2"/>
  <c r="I39" i="2" s="1"/>
  <c r="I65" i="2"/>
  <c r="I41" i="2" s="1"/>
  <c r="I67" i="2"/>
  <c r="I43" i="2" s="1"/>
  <c r="I68" i="2"/>
  <c r="I44" i="2" s="1"/>
  <c r="I60" i="2"/>
  <c r="I64" i="2"/>
  <c r="I40" i="2" s="1"/>
  <c r="I71" i="2"/>
  <c r="I47" i="2" s="1"/>
  <c r="I73" i="2"/>
  <c r="I49" i="2" s="1"/>
  <c r="I75" i="2"/>
  <c r="I77" i="2"/>
  <c r="I58" i="2"/>
  <c r="I62" i="2"/>
  <c r="I69" i="2"/>
  <c r="I45" i="2" s="1"/>
  <c r="I70" i="2"/>
  <c r="I46" i="2" s="1"/>
  <c r="I72" i="2"/>
  <c r="I48" i="2" s="1"/>
  <c r="I76" i="2"/>
  <c r="I78" i="2"/>
  <c r="J57" i="2"/>
  <c r="I66" i="2"/>
  <c r="I42" i="2" s="1"/>
  <c r="I74" i="2"/>
  <c r="I50" i="2" s="1"/>
  <c r="J136" i="2"/>
  <c r="E135" i="2"/>
  <c r="E38" i="2" s="1"/>
  <c r="G135" i="2"/>
  <c r="G38" i="2" s="1"/>
  <c r="I135" i="2"/>
  <c r="K135" i="2"/>
  <c r="A134" i="2"/>
  <c r="F135" i="2"/>
  <c r="F38" i="2" s="1"/>
  <c r="J135" i="2"/>
  <c r="D135" i="2"/>
  <c r="D38" i="2" s="1"/>
  <c r="H135" i="2"/>
  <c r="H38" i="2" s="1"/>
  <c r="J182" i="2"/>
  <c r="J184" i="2"/>
  <c r="J186" i="2"/>
  <c r="J188" i="2"/>
  <c r="J190" i="2"/>
  <c r="J191" i="2"/>
  <c r="J193" i="2"/>
  <c r="J195" i="2"/>
  <c r="J197" i="2"/>
  <c r="J199" i="2"/>
  <c r="J201" i="2"/>
  <c r="K180" i="2"/>
  <c r="J181" i="2"/>
  <c r="J183" i="2"/>
  <c r="J185" i="2"/>
  <c r="J187" i="2"/>
  <c r="J189" i="2"/>
  <c r="J192" i="2"/>
  <c r="J194" i="2"/>
  <c r="J196" i="2"/>
  <c r="J198" i="2"/>
  <c r="J200" i="2"/>
  <c r="H51" i="2" l="1"/>
  <c r="I51" i="2"/>
  <c r="D51" i="2"/>
  <c r="L155" i="2"/>
  <c r="K156" i="2"/>
  <c r="K158" i="2"/>
  <c r="K160" i="2"/>
  <c r="K162" i="2"/>
  <c r="K164" i="2"/>
  <c r="K167" i="2"/>
  <c r="K169" i="2"/>
  <c r="K171" i="2"/>
  <c r="K173" i="2"/>
  <c r="K175" i="2"/>
  <c r="K166" i="2"/>
  <c r="K157" i="2"/>
  <c r="K159" i="2"/>
  <c r="K161" i="2"/>
  <c r="K163" i="2"/>
  <c r="K165" i="2"/>
  <c r="K168" i="2"/>
  <c r="K170" i="2"/>
  <c r="K172" i="2"/>
  <c r="K174" i="2"/>
  <c r="K176" i="2"/>
  <c r="A36" i="2"/>
  <c r="B37" i="2"/>
  <c r="C37" i="2"/>
  <c r="D149" i="2"/>
  <c r="F149" i="2"/>
  <c r="H149" i="2"/>
  <c r="J149" i="2"/>
  <c r="A150" i="2"/>
  <c r="E149" i="2"/>
  <c r="I149" i="2"/>
  <c r="G149" i="2"/>
  <c r="K149" i="2"/>
  <c r="C52" i="2"/>
  <c r="B52" i="2"/>
  <c r="A53" i="2"/>
  <c r="F51" i="2"/>
  <c r="E51" i="2"/>
  <c r="L82" i="2"/>
  <c r="K83" i="2"/>
  <c r="K85" i="2"/>
  <c r="K87" i="2"/>
  <c r="K89" i="2"/>
  <c r="K91" i="2"/>
  <c r="K94" i="2"/>
  <c r="K96" i="2"/>
  <c r="K98" i="2"/>
  <c r="K100" i="2"/>
  <c r="K102" i="2"/>
  <c r="K93" i="2"/>
  <c r="K84" i="2"/>
  <c r="K88" i="2"/>
  <c r="K95" i="2"/>
  <c r="K97" i="2"/>
  <c r="K99" i="2"/>
  <c r="K101" i="2"/>
  <c r="K103" i="2"/>
  <c r="K86" i="2"/>
  <c r="K90" i="2"/>
  <c r="K92" i="2"/>
  <c r="L180" i="2"/>
  <c r="K181" i="2"/>
  <c r="K183" i="2"/>
  <c r="K185" i="2"/>
  <c r="K187" i="2"/>
  <c r="K189" i="2"/>
  <c r="K192" i="2"/>
  <c r="K194" i="2"/>
  <c r="K196" i="2"/>
  <c r="K198" i="2"/>
  <c r="K200" i="2"/>
  <c r="K182" i="2"/>
  <c r="K184" i="2"/>
  <c r="K186" i="2"/>
  <c r="K188" i="2"/>
  <c r="K190" i="2"/>
  <c r="K193" i="2"/>
  <c r="K195" i="2"/>
  <c r="K197" i="2"/>
  <c r="K199" i="2"/>
  <c r="K201" i="2"/>
  <c r="K191" i="2"/>
  <c r="A133" i="2"/>
  <c r="D134" i="2"/>
  <c r="D37" i="2" s="1"/>
  <c r="F134" i="2"/>
  <c r="F37" i="2" s="1"/>
  <c r="H134" i="2"/>
  <c r="H37" i="2" s="1"/>
  <c r="J134" i="2"/>
  <c r="G134" i="2"/>
  <c r="G37" i="2" s="1"/>
  <c r="K134" i="2"/>
  <c r="E134" i="2"/>
  <c r="E37" i="2" s="1"/>
  <c r="I134" i="2"/>
  <c r="I37" i="2" s="1"/>
  <c r="K57" i="2"/>
  <c r="J58" i="2"/>
  <c r="J60" i="2"/>
  <c r="J62" i="2"/>
  <c r="J38" i="2" s="1"/>
  <c r="J64" i="2"/>
  <c r="J40" i="2" s="1"/>
  <c r="J66" i="2"/>
  <c r="J42" i="2" s="1"/>
  <c r="J69" i="2"/>
  <c r="J45" i="2" s="1"/>
  <c r="J59" i="2"/>
  <c r="J63" i="2"/>
  <c r="J39" i="2" s="1"/>
  <c r="J70" i="2"/>
  <c r="J46" i="2" s="1"/>
  <c r="J72" i="2"/>
  <c r="J48" i="2" s="1"/>
  <c r="J74" i="2"/>
  <c r="J50" i="2" s="1"/>
  <c r="J76" i="2"/>
  <c r="J78" i="2"/>
  <c r="J67" i="2"/>
  <c r="J43" i="2" s="1"/>
  <c r="J68" i="2"/>
  <c r="J44" i="2" s="1"/>
  <c r="J71" i="2"/>
  <c r="J47" i="2" s="1"/>
  <c r="J73" i="2"/>
  <c r="J49" i="2" s="1"/>
  <c r="J75" i="2"/>
  <c r="J51" i="2" s="1"/>
  <c r="J61" i="2"/>
  <c r="J37" i="2" s="1"/>
  <c r="J65" i="2"/>
  <c r="J41" i="2" s="1"/>
  <c r="J77" i="2"/>
  <c r="I38" i="2"/>
  <c r="L130" i="2"/>
  <c r="K142" i="2"/>
  <c r="K141" i="2"/>
  <c r="K143" i="2"/>
  <c r="K140" i="2"/>
  <c r="K139" i="2"/>
  <c r="K144" i="2"/>
  <c r="K138" i="2"/>
  <c r="K145" i="2"/>
  <c r="K146" i="2"/>
  <c r="K137" i="2"/>
  <c r="K136" i="2"/>
  <c r="K147" i="2"/>
  <c r="A108" i="2"/>
  <c r="D109" i="2"/>
  <c r="F109" i="2"/>
  <c r="H109" i="2"/>
  <c r="J109" i="2"/>
  <c r="E109" i="2"/>
  <c r="I109" i="2"/>
  <c r="G109" i="2"/>
  <c r="C109" i="2"/>
  <c r="K109" i="2"/>
  <c r="K148" i="2"/>
  <c r="C125" i="2"/>
  <c r="E125" i="2"/>
  <c r="G125" i="2"/>
  <c r="I125" i="2"/>
  <c r="K125" i="2"/>
  <c r="F125" i="2"/>
  <c r="J125" i="2"/>
  <c r="D125" i="2"/>
  <c r="H125" i="2"/>
  <c r="A126" i="2"/>
  <c r="G51" i="2"/>
  <c r="L106" i="2"/>
  <c r="L109" i="2" s="1"/>
  <c r="K117" i="2"/>
  <c r="K116" i="2"/>
  <c r="K115" i="2"/>
  <c r="K119" i="2"/>
  <c r="K118" i="2"/>
  <c r="K114" i="2"/>
  <c r="K120" i="2"/>
  <c r="K121" i="2"/>
  <c r="K113" i="2"/>
  <c r="K112" i="2"/>
  <c r="K122" i="2"/>
  <c r="K123" i="2"/>
  <c r="K111" i="2"/>
  <c r="G52" i="2" l="1"/>
  <c r="L125" i="2"/>
  <c r="H52" i="2"/>
  <c r="D52" i="2"/>
  <c r="I52" i="2"/>
  <c r="L141" i="2"/>
  <c r="L142" i="2"/>
  <c r="M130" i="2"/>
  <c r="L140" i="2"/>
  <c r="L143" i="2"/>
  <c r="L139" i="2"/>
  <c r="L144" i="2"/>
  <c r="L138" i="2"/>
  <c r="L145" i="2"/>
  <c r="L146" i="2"/>
  <c r="L137" i="2"/>
  <c r="L136" i="2"/>
  <c r="L147" i="2"/>
  <c r="L148" i="2"/>
  <c r="L135" i="2"/>
  <c r="J52" i="2"/>
  <c r="K59" i="2"/>
  <c r="K61" i="2"/>
  <c r="K37" i="2" s="1"/>
  <c r="K63" i="2"/>
  <c r="K39" i="2" s="1"/>
  <c r="K65" i="2"/>
  <c r="K41" i="2" s="1"/>
  <c r="K67" i="2"/>
  <c r="K43" i="2" s="1"/>
  <c r="K68" i="2"/>
  <c r="K44" i="2" s="1"/>
  <c r="L57" i="2"/>
  <c r="K58" i="2"/>
  <c r="K62" i="2"/>
  <c r="K38" i="2" s="1"/>
  <c r="K66" i="2"/>
  <c r="K42" i="2" s="1"/>
  <c r="K69" i="2"/>
  <c r="K45" i="2" s="1"/>
  <c r="K71" i="2"/>
  <c r="K47" i="2" s="1"/>
  <c r="K73" i="2"/>
  <c r="K49" i="2" s="1"/>
  <c r="K75" i="2"/>
  <c r="K51" i="2" s="1"/>
  <c r="K77" i="2"/>
  <c r="K74" i="2"/>
  <c r="K50" i="2" s="1"/>
  <c r="K70" i="2"/>
  <c r="K46" i="2" s="1"/>
  <c r="K60" i="2"/>
  <c r="K64" i="2"/>
  <c r="K40" i="2" s="1"/>
  <c r="K72" i="2"/>
  <c r="K48" i="2" s="1"/>
  <c r="K76" i="2"/>
  <c r="K52" i="2" s="1"/>
  <c r="K78" i="2"/>
  <c r="L134" i="2"/>
  <c r="B53" i="2"/>
  <c r="A54" i="2"/>
  <c r="C53" i="2"/>
  <c r="A35" i="2"/>
  <c r="C36" i="2"/>
  <c r="B36" i="2"/>
  <c r="L157" i="2"/>
  <c r="L159" i="2"/>
  <c r="L161" i="2"/>
  <c r="L163" i="2"/>
  <c r="L165" i="2"/>
  <c r="L166" i="2"/>
  <c r="L168" i="2"/>
  <c r="L170" i="2"/>
  <c r="L172" i="2"/>
  <c r="L174" i="2"/>
  <c r="L176" i="2"/>
  <c r="M155" i="2"/>
  <c r="L156" i="2"/>
  <c r="L158" i="2"/>
  <c r="L160" i="2"/>
  <c r="L162" i="2"/>
  <c r="L164" i="2"/>
  <c r="L167" i="2"/>
  <c r="L169" i="2"/>
  <c r="L171" i="2"/>
  <c r="L173" i="2"/>
  <c r="L175" i="2"/>
  <c r="L116" i="2"/>
  <c r="L117" i="2"/>
  <c r="L118" i="2"/>
  <c r="M106" i="2"/>
  <c r="L115" i="2"/>
  <c r="L119" i="2"/>
  <c r="L114" i="2"/>
  <c r="L120" i="2"/>
  <c r="L113" i="2"/>
  <c r="L121" i="2"/>
  <c r="L122" i="2"/>
  <c r="L112" i="2"/>
  <c r="L123" i="2"/>
  <c r="L111" i="2"/>
  <c r="L124" i="2"/>
  <c r="L110" i="2"/>
  <c r="C126" i="2"/>
  <c r="E126" i="2"/>
  <c r="G126" i="2"/>
  <c r="I126" i="2"/>
  <c r="K126" i="2"/>
  <c r="M126" i="2"/>
  <c r="D126" i="2"/>
  <c r="H126" i="2"/>
  <c r="L126" i="2"/>
  <c r="A127" i="2"/>
  <c r="F126" i="2"/>
  <c r="J126" i="2"/>
  <c r="F52" i="2"/>
  <c r="E52" i="2"/>
  <c r="A107" i="2"/>
  <c r="D108" i="2"/>
  <c r="F108" i="2"/>
  <c r="H108" i="2"/>
  <c r="J108" i="2"/>
  <c r="L108" i="2"/>
  <c r="C108" i="2"/>
  <c r="G108" i="2"/>
  <c r="K108" i="2"/>
  <c r="E108" i="2"/>
  <c r="M108" i="2"/>
  <c r="I108" i="2"/>
  <c r="E133" i="2"/>
  <c r="E36" i="2" s="1"/>
  <c r="G133" i="2"/>
  <c r="G36" i="2" s="1"/>
  <c r="I133" i="2"/>
  <c r="I36" i="2" s="1"/>
  <c r="K133" i="2"/>
  <c r="M133" i="2"/>
  <c r="D133" i="2"/>
  <c r="D36" i="2" s="1"/>
  <c r="H133" i="2"/>
  <c r="H36" i="2" s="1"/>
  <c r="L133" i="2"/>
  <c r="A132" i="2"/>
  <c r="F133" i="2"/>
  <c r="F36" i="2" s="1"/>
  <c r="J133" i="2"/>
  <c r="J36" i="2" s="1"/>
  <c r="L182" i="2"/>
  <c r="L184" i="2"/>
  <c r="L186" i="2"/>
  <c r="L188" i="2"/>
  <c r="L190" i="2"/>
  <c r="L191" i="2"/>
  <c r="L193" i="2"/>
  <c r="L195" i="2"/>
  <c r="L197" i="2"/>
  <c r="L199" i="2"/>
  <c r="L201" i="2"/>
  <c r="M180" i="2"/>
  <c r="L181" i="2"/>
  <c r="L183" i="2"/>
  <c r="L185" i="2"/>
  <c r="L187" i="2"/>
  <c r="L189" i="2"/>
  <c r="L192" i="2"/>
  <c r="L194" i="2"/>
  <c r="L196" i="2"/>
  <c r="L198" i="2"/>
  <c r="L200" i="2"/>
  <c r="L84" i="2"/>
  <c r="L86" i="2"/>
  <c r="L88" i="2"/>
  <c r="L90" i="2"/>
  <c r="L92" i="2"/>
  <c r="L93" i="2"/>
  <c r="L95" i="2"/>
  <c r="L97" i="2"/>
  <c r="L99" i="2"/>
  <c r="L101" i="2"/>
  <c r="L103" i="2"/>
  <c r="M82" i="2"/>
  <c r="L83" i="2"/>
  <c r="L85" i="2"/>
  <c r="L87" i="2"/>
  <c r="L89" i="2"/>
  <c r="L91" i="2"/>
  <c r="L94" i="2"/>
  <c r="L96" i="2"/>
  <c r="L98" i="2"/>
  <c r="L100" i="2"/>
  <c r="L102" i="2"/>
  <c r="E150" i="2"/>
  <c r="G150" i="2"/>
  <c r="I150" i="2"/>
  <c r="K150" i="2"/>
  <c r="D150" i="2"/>
  <c r="H150" i="2"/>
  <c r="L150" i="2"/>
  <c r="A151" i="2"/>
  <c r="F150" i="2"/>
  <c r="J150" i="2"/>
  <c r="L149" i="2"/>
  <c r="J53" i="2" l="1"/>
  <c r="K36" i="2"/>
  <c r="D151" i="2"/>
  <c r="F151" i="2"/>
  <c r="H151" i="2"/>
  <c r="J151" i="2"/>
  <c r="L151" i="2"/>
  <c r="G151" i="2"/>
  <c r="K151" i="2"/>
  <c r="E151" i="2"/>
  <c r="I151" i="2"/>
  <c r="M151" i="2"/>
  <c r="N82" i="2"/>
  <c r="M83" i="2"/>
  <c r="M85" i="2"/>
  <c r="M87" i="2"/>
  <c r="M89" i="2"/>
  <c r="M91" i="2"/>
  <c r="M94" i="2"/>
  <c r="M96" i="2"/>
  <c r="M98" i="2"/>
  <c r="M100" i="2"/>
  <c r="M102" i="2"/>
  <c r="M84" i="2"/>
  <c r="M86" i="2"/>
  <c r="M88" i="2"/>
  <c r="M90" i="2"/>
  <c r="M92" i="2"/>
  <c r="M95" i="2"/>
  <c r="M97" i="2"/>
  <c r="M99" i="2"/>
  <c r="M101" i="2"/>
  <c r="M103" i="2"/>
  <c r="M93" i="2"/>
  <c r="N180" i="2"/>
  <c r="M181" i="2"/>
  <c r="M183" i="2"/>
  <c r="M185" i="2"/>
  <c r="M187" i="2"/>
  <c r="M189" i="2"/>
  <c r="M192" i="2"/>
  <c r="M194" i="2"/>
  <c r="M196" i="2"/>
  <c r="M198" i="2"/>
  <c r="M200" i="2"/>
  <c r="M191" i="2"/>
  <c r="M182" i="2"/>
  <c r="M184" i="2"/>
  <c r="M186" i="2"/>
  <c r="M188" i="2"/>
  <c r="M190" i="2"/>
  <c r="M193" i="2"/>
  <c r="M195" i="2"/>
  <c r="M197" i="2"/>
  <c r="M199" i="2"/>
  <c r="M201" i="2"/>
  <c r="D107" i="2"/>
  <c r="F107" i="2"/>
  <c r="H107" i="2"/>
  <c r="J107" i="2"/>
  <c r="L107" i="2"/>
  <c r="E107" i="2"/>
  <c r="I107" i="2"/>
  <c r="M107" i="2"/>
  <c r="C107" i="2"/>
  <c r="K107" i="2"/>
  <c r="G107" i="2"/>
  <c r="C127" i="2"/>
  <c r="E127" i="2"/>
  <c r="G127" i="2"/>
  <c r="I127" i="2"/>
  <c r="K127" i="2"/>
  <c r="M127" i="2"/>
  <c r="F127" i="2"/>
  <c r="F54" i="2" s="1"/>
  <c r="J127" i="2"/>
  <c r="D127" i="2"/>
  <c r="H127" i="2"/>
  <c r="H54" i="2" s="1"/>
  <c r="L127" i="2"/>
  <c r="H53" i="2"/>
  <c r="G53" i="2"/>
  <c r="N130" i="2"/>
  <c r="M142" i="2"/>
  <c r="M141" i="2"/>
  <c r="M143" i="2"/>
  <c r="M140" i="2"/>
  <c r="M144" i="2"/>
  <c r="M139" i="2"/>
  <c r="M138" i="2"/>
  <c r="M145" i="2"/>
  <c r="M146" i="2"/>
  <c r="M137" i="2"/>
  <c r="M136" i="2"/>
  <c r="M147" i="2"/>
  <c r="M135" i="2"/>
  <c r="M148" i="2"/>
  <c r="M134" i="2"/>
  <c r="M149" i="2"/>
  <c r="M150" i="2"/>
  <c r="A131" i="2"/>
  <c r="D132" i="2"/>
  <c r="D35" i="2" s="1"/>
  <c r="F132" i="2"/>
  <c r="F35" i="2" s="1"/>
  <c r="H132" i="2"/>
  <c r="H35" i="2" s="1"/>
  <c r="J132" i="2"/>
  <c r="J35" i="2" s="1"/>
  <c r="L132" i="2"/>
  <c r="N132" i="2"/>
  <c r="E132" i="2"/>
  <c r="E35" i="2" s="1"/>
  <c r="I132" i="2"/>
  <c r="I35" i="2" s="1"/>
  <c r="M132" i="2"/>
  <c r="G132" i="2"/>
  <c r="G35" i="2" s="1"/>
  <c r="K132" i="2"/>
  <c r="K35" i="2" s="1"/>
  <c r="F53" i="2"/>
  <c r="D53" i="2"/>
  <c r="I53" i="2"/>
  <c r="E53" i="2"/>
  <c r="N106" i="2"/>
  <c r="M117" i="2"/>
  <c r="M116" i="2"/>
  <c r="M115" i="2"/>
  <c r="M119" i="2"/>
  <c r="M118" i="2"/>
  <c r="M120" i="2"/>
  <c r="M114" i="2"/>
  <c r="M113" i="2"/>
  <c r="M121" i="2"/>
  <c r="M112" i="2"/>
  <c r="M122" i="2"/>
  <c r="M123" i="2"/>
  <c r="M111" i="2"/>
  <c r="M124" i="2"/>
  <c r="M110" i="2"/>
  <c r="M125" i="2"/>
  <c r="M109" i="2"/>
  <c r="N155" i="2"/>
  <c r="M156" i="2"/>
  <c r="M158" i="2"/>
  <c r="M160" i="2"/>
  <c r="M162" i="2"/>
  <c r="M164" i="2"/>
  <c r="M167" i="2"/>
  <c r="M169" i="2"/>
  <c r="M171" i="2"/>
  <c r="M173" i="2"/>
  <c r="M175" i="2"/>
  <c r="M157" i="2"/>
  <c r="M159" i="2"/>
  <c r="M161" i="2"/>
  <c r="M163" i="2"/>
  <c r="M165" i="2"/>
  <c r="M168" i="2"/>
  <c r="M170" i="2"/>
  <c r="M172" i="2"/>
  <c r="M174" i="2"/>
  <c r="M176" i="2"/>
  <c r="M166" i="2"/>
  <c r="C35" i="2"/>
  <c r="A34" i="2"/>
  <c r="B35" i="2"/>
  <c r="C54" i="2"/>
  <c r="B54" i="2"/>
  <c r="K53" i="2"/>
  <c r="M57" i="2"/>
  <c r="L58" i="2"/>
  <c r="L60" i="2"/>
  <c r="L36" i="2" s="1"/>
  <c r="L62" i="2"/>
  <c r="L38" i="2" s="1"/>
  <c r="L64" i="2"/>
  <c r="L40" i="2" s="1"/>
  <c r="L66" i="2"/>
  <c r="L42" i="2" s="1"/>
  <c r="L69" i="2"/>
  <c r="L45" i="2" s="1"/>
  <c r="L61" i="2"/>
  <c r="L37" i="2" s="1"/>
  <c r="L65" i="2"/>
  <c r="L41" i="2" s="1"/>
  <c r="L67" i="2"/>
  <c r="L43" i="2" s="1"/>
  <c r="L68" i="2"/>
  <c r="L44" i="2" s="1"/>
  <c r="L70" i="2"/>
  <c r="L46" i="2" s="1"/>
  <c r="L72" i="2"/>
  <c r="L48" i="2" s="1"/>
  <c r="L74" i="2"/>
  <c r="L50" i="2" s="1"/>
  <c r="L76" i="2"/>
  <c r="L52" i="2" s="1"/>
  <c r="L78" i="2"/>
  <c r="L59" i="2"/>
  <c r="L63" i="2"/>
  <c r="L39" i="2" s="1"/>
  <c r="L77" i="2"/>
  <c r="L53" i="2" s="1"/>
  <c r="L71" i="2"/>
  <c r="L47" i="2" s="1"/>
  <c r="L73" i="2"/>
  <c r="L49" i="2" s="1"/>
  <c r="L75" i="2"/>
  <c r="L51" i="2" s="1"/>
  <c r="G54" i="2" l="1"/>
  <c r="K54" i="2"/>
  <c r="L35" i="2"/>
  <c r="I54" i="2"/>
  <c r="E54" i="2"/>
  <c r="L54" i="2"/>
  <c r="D54" i="2"/>
  <c r="M59" i="2"/>
  <c r="M35" i="2" s="1"/>
  <c r="M61" i="2"/>
  <c r="M37" i="2" s="1"/>
  <c r="M63" i="2"/>
  <c r="M39" i="2" s="1"/>
  <c r="M65" i="2"/>
  <c r="M41" i="2" s="1"/>
  <c r="M67" i="2"/>
  <c r="M43" i="2" s="1"/>
  <c r="M68" i="2"/>
  <c r="M44" i="2" s="1"/>
  <c r="M60" i="2"/>
  <c r="M36" i="2" s="1"/>
  <c r="M64" i="2"/>
  <c r="M40" i="2" s="1"/>
  <c r="M71" i="2"/>
  <c r="M47" i="2" s="1"/>
  <c r="M73" i="2"/>
  <c r="M49" i="2" s="1"/>
  <c r="M75" i="2"/>
  <c r="M51" i="2" s="1"/>
  <c r="M77" i="2"/>
  <c r="M53" i="2" s="1"/>
  <c r="N57" i="2"/>
  <c r="M66" i="2"/>
  <c r="M42" i="2" s="1"/>
  <c r="M70" i="2"/>
  <c r="M46" i="2" s="1"/>
  <c r="M72" i="2"/>
  <c r="M48" i="2" s="1"/>
  <c r="M76" i="2"/>
  <c r="M52" i="2" s="1"/>
  <c r="M78" i="2"/>
  <c r="M54" i="2" s="1"/>
  <c r="M69" i="2"/>
  <c r="M45" i="2" s="1"/>
  <c r="M74" i="2"/>
  <c r="M50" i="2" s="1"/>
  <c r="M58" i="2"/>
  <c r="M62" i="2"/>
  <c r="M38" i="2" s="1"/>
  <c r="N157" i="2"/>
  <c r="N159" i="2"/>
  <c r="N161" i="2"/>
  <c r="N163" i="2"/>
  <c r="N165" i="2"/>
  <c r="N166" i="2"/>
  <c r="N168" i="2"/>
  <c r="N170" i="2"/>
  <c r="N172" i="2"/>
  <c r="N174" i="2"/>
  <c r="N176" i="2"/>
  <c r="O155" i="2"/>
  <c r="N156" i="2"/>
  <c r="N158" i="2"/>
  <c r="N160" i="2"/>
  <c r="N162" i="2"/>
  <c r="N164" i="2"/>
  <c r="N167" i="2"/>
  <c r="N169" i="2"/>
  <c r="N171" i="2"/>
  <c r="N173" i="2"/>
  <c r="N175" i="2"/>
  <c r="N116" i="2"/>
  <c r="O106" i="2"/>
  <c r="N118" i="2"/>
  <c r="N117" i="2"/>
  <c r="N119" i="2"/>
  <c r="N115" i="2"/>
  <c r="N120" i="2"/>
  <c r="N114" i="2"/>
  <c r="N121" i="2"/>
  <c r="N113" i="2"/>
  <c r="N112" i="2"/>
  <c r="N122" i="2"/>
  <c r="N111" i="2"/>
  <c r="N123" i="2"/>
  <c r="N110" i="2"/>
  <c r="N124" i="2"/>
  <c r="N109" i="2"/>
  <c r="N125" i="2"/>
  <c r="N126" i="2"/>
  <c r="N108" i="2"/>
  <c r="E131" i="2"/>
  <c r="E34" i="2" s="1"/>
  <c r="G131" i="2"/>
  <c r="I131" i="2"/>
  <c r="I34" i="2" s="1"/>
  <c r="K131" i="2"/>
  <c r="K34" i="2" s="1"/>
  <c r="M131" i="2"/>
  <c r="F131" i="2"/>
  <c r="J131" i="2"/>
  <c r="J34" i="2" s="1"/>
  <c r="N131" i="2"/>
  <c r="D131" i="2"/>
  <c r="H131" i="2"/>
  <c r="H34" i="2" s="1"/>
  <c r="L131" i="2"/>
  <c r="N141" i="2"/>
  <c r="O130" i="2"/>
  <c r="N142" i="2"/>
  <c r="N140" i="2"/>
  <c r="N143" i="2"/>
  <c r="N139" i="2"/>
  <c r="N144" i="2"/>
  <c r="N138" i="2"/>
  <c r="N145" i="2"/>
  <c r="N146" i="2"/>
  <c r="N137" i="2"/>
  <c r="N136" i="2"/>
  <c r="N147" i="2"/>
  <c r="N148" i="2"/>
  <c r="N135" i="2"/>
  <c r="N134" i="2"/>
  <c r="N149" i="2"/>
  <c r="N150" i="2"/>
  <c r="N133" i="2"/>
  <c r="N127" i="2"/>
  <c r="G34" i="2"/>
  <c r="D34" i="2"/>
  <c r="N151" i="2"/>
  <c r="L34" i="2"/>
  <c r="B34" i="2"/>
  <c r="C34" i="2"/>
  <c r="J54" i="2"/>
  <c r="N107" i="2"/>
  <c r="F34" i="2"/>
  <c r="N182" i="2"/>
  <c r="N184" i="2"/>
  <c r="N186" i="2"/>
  <c r="N188" i="2"/>
  <c r="N190" i="2"/>
  <c r="N191" i="2"/>
  <c r="N193" i="2"/>
  <c r="N195" i="2"/>
  <c r="N197" i="2"/>
  <c r="N199" i="2"/>
  <c r="N201" i="2"/>
  <c r="O180" i="2"/>
  <c r="N181" i="2"/>
  <c r="N183" i="2"/>
  <c r="N185" i="2"/>
  <c r="N187" i="2"/>
  <c r="N189" i="2"/>
  <c r="N192" i="2"/>
  <c r="N194" i="2"/>
  <c r="N196" i="2"/>
  <c r="N198" i="2"/>
  <c r="N200" i="2"/>
  <c r="N84" i="2"/>
  <c r="N86" i="2"/>
  <c r="N88" i="2"/>
  <c r="N90" i="2"/>
  <c r="N92" i="2"/>
  <c r="N93" i="2"/>
  <c r="N95" i="2"/>
  <c r="N97" i="2"/>
  <c r="N99" i="2"/>
  <c r="N101" i="2"/>
  <c r="N103" i="2"/>
  <c r="O82" i="2"/>
  <c r="N83" i="2"/>
  <c r="N87" i="2"/>
  <c r="N91" i="2"/>
  <c r="N85" i="2"/>
  <c r="N89" i="2"/>
  <c r="N94" i="2"/>
  <c r="N96" i="2"/>
  <c r="N98" i="2"/>
  <c r="N100" i="2"/>
  <c r="N102" i="2"/>
  <c r="P82" i="2" l="1"/>
  <c r="O83" i="2"/>
  <c r="O85" i="2"/>
  <c r="O87" i="2"/>
  <c r="O89" i="2"/>
  <c r="O91" i="2"/>
  <c r="O94" i="2"/>
  <c r="O96" i="2"/>
  <c r="O98" i="2"/>
  <c r="O100" i="2"/>
  <c r="O102" i="2"/>
  <c r="O93" i="2"/>
  <c r="O86" i="2"/>
  <c r="O90" i="2"/>
  <c r="O92" i="2"/>
  <c r="O84" i="2"/>
  <c r="O88" i="2"/>
  <c r="O95" i="2"/>
  <c r="O97" i="2"/>
  <c r="O99" i="2"/>
  <c r="O101" i="2"/>
  <c r="O103" i="2"/>
  <c r="P180" i="2"/>
  <c r="O181" i="2"/>
  <c r="O183" i="2"/>
  <c r="O185" i="2"/>
  <c r="O187" i="2"/>
  <c r="O189" i="2"/>
  <c r="O192" i="2"/>
  <c r="O194" i="2"/>
  <c r="O196" i="2"/>
  <c r="O198" i="2"/>
  <c r="O200" i="2"/>
  <c r="O182" i="2"/>
  <c r="O184" i="2"/>
  <c r="O186" i="2"/>
  <c r="O188" i="2"/>
  <c r="O190" i="2"/>
  <c r="O193" i="2"/>
  <c r="O195" i="2"/>
  <c r="O197" i="2"/>
  <c r="O199" i="2"/>
  <c r="O201" i="2"/>
  <c r="O191" i="2"/>
  <c r="M34" i="2"/>
  <c r="O57" i="2"/>
  <c r="N58" i="2"/>
  <c r="N34" i="2" s="1"/>
  <c r="N60" i="2"/>
  <c r="N36" i="2" s="1"/>
  <c r="N62" i="2"/>
  <c r="N38" i="2" s="1"/>
  <c r="N64" i="2"/>
  <c r="N40" i="2" s="1"/>
  <c r="N66" i="2"/>
  <c r="N42" i="2" s="1"/>
  <c r="N69" i="2"/>
  <c r="N45" i="2" s="1"/>
  <c r="N59" i="2"/>
  <c r="N35" i="2" s="1"/>
  <c r="N63" i="2"/>
  <c r="N39" i="2" s="1"/>
  <c r="N70" i="2"/>
  <c r="N46" i="2" s="1"/>
  <c r="N72" i="2"/>
  <c r="N48" i="2" s="1"/>
  <c r="N74" i="2"/>
  <c r="N50" i="2" s="1"/>
  <c r="N76" i="2"/>
  <c r="N52" i="2" s="1"/>
  <c r="N78" i="2"/>
  <c r="N54" i="2" s="1"/>
  <c r="N61" i="2"/>
  <c r="N37" i="2" s="1"/>
  <c r="N65" i="2"/>
  <c r="N41" i="2" s="1"/>
  <c r="N71" i="2"/>
  <c r="N47" i="2" s="1"/>
  <c r="N73" i="2"/>
  <c r="N49" i="2" s="1"/>
  <c r="N75" i="2"/>
  <c r="N51" i="2" s="1"/>
  <c r="N67" i="2"/>
  <c r="N43" i="2" s="1"/>
  <c r="N68" i="2"/>
  <c r="N44" i="2" s="1"/>
  <c r="N77" i="2"/>
  <c r="N53" i="2" s="1"/>
  <c r="P130" i="2"/>
  <c r="O142" i="2"/>
  <c r="O141" i="2"/>
  <c r="O143" i="2"/>
  <c r="O140" i="2"/>
  <c r="O139" i="2"/>
  <c r="O144" i="2"/>
  <c r="O138" i="2"/>
  <c r="O145" i="2"/>
  <c r="O146" i="2"/>
  <c r="O137" i="2"/>
  <c r="O136" i="2"/>
  <c r="O147" i="2"/>
  <c r="O148" i="2"/>
  <c r="O135" i="2"/>
  <c r="O149" i="2"/>
  <c r="O134" i="2"/>
  <c r="O133" i="2"/>
  <c r="O150" i="2"/>
  <c r="O151" i="2"/>
  <c r="O132" i="2"/>
  <c r="O131" i="2"/>
  <c r="P106" i="2"/>
  <c r="O117" i="2"/>
  <c r="O116" i="2"/>
  <c r="O115" i="2"/>
  <c r="O119" i="2"/>
  <c r="O118" i="2"/>
  <c r="O114" i="2"/>
  <c r="O120" i="2"/>
  <c r="O121" i="2"/>
  <c r="O113" i="2"/>
  <c r="O112" i="2"/>
  <c r="O122" i="2"/>
  <c r="O111" i="2"/>
  <c r="O123" i="2"/>
  <c r="O110" i="2"/>
  <c r="O124" i="2"/>
  <c r="O109" i="2"/>
  <c r="O125" i="2"/>
  <c r="O126" i="2"/>
  <c r="O108" i="2"/>
  <c r="O107" i="2"/>
  <c r="O127" i="2"/>
  <c r="P155" i="2"/>
  <c r="O156" i="2"/>
  <c r="O158" i="2"/>
  <c r="O160" i="2"/>
  <c r="O162" i="2"/>
  <c r="O164" i="2"/>
  <c r="O167" i="2"/>
  <c r="O169" i="2"/>
  <c r="O171" i="2"/>
  <c r="O173" i="2"/>
  <c r="O175" i="2"/>
  <c r="O166" i="2"/>
  <c r="O157" i="2"/>
  <c r="O159" i="2"/>
  <c r="O161" i="2"/>
  <c r="O163" i="2"/>
  <c r="O165" i="2"/>
  <c r="O168" i="2"/>
  <c r="O170" i="2"/>
  <c r="O172" i="2"/>
  <c r="O174" i="2"/>
  <c r="O176" i="2"/>
  <c r="O59" i="2" l="1"/>
  <c r="O35" i="2" s="1"/>
  <c r="O61" i="2"/>
  <c r="O37" i="2" s="1"/>
  <c r="O63" i="2"/>
  <c r="O39" i="2" s="1"/>
  <c r="O65" i="2"/>
  <c r="O41" i="2" s="1"/>
  <c r="O67" i="2"/>
  <c r="O43" i="2" s="1"/>
  <c r="O68" i="2"/>
  <c r="O44" i="2" s="1"/>
  <c r="P57" i="2"/>
  <c r="O58" i="2"/>
  <c r="O34" i="2" s="1"/>
  <c r="O62" i="2"/>
  <c r="O38" i="2" s="1"/>
  <c r="O66" i="2"/>
  <c r="O42" i="2" s="1"/>
  <c r="O69" i="2"/>
  <c r="O45" i="2" s="1"/>
  <c r="O71" i="2"/>
  <c r="O47" i="2" s="1"/>
  <c r="O73" i="2"/>
  <c r="O49" i="2" s="1"/>
  <c r="O75" i="2"/>
  <c r="O51" i="2" s="1"/>
  <c r="O77" i="2"/>
  <c r="O53" i="2" s="1"/>
  <c r="O60" i="2"/>
  <c r="O36" i="2" s="1"/>
  <c r="O64" i="2"/>
  <c r="O40" i="2" s="1"/>
  <c r="O74" i="2"/>
  <c r="O50" i="2" s="1"/>
  <c r="O72" i="2"/>
  <c r="O48" i="2" s="1"/>
  <c r="O76" i="2"/>
  <c r="O52" i="2" s="1"/>
  <c r="O78" i="2"/>
  <c r="O54" i="2" s="1"/>
  <c r="O70" i="2"/>
  <c r="O46" i="2" s="1"/>
  <c r="P157" i="2"/>
  <c r="P159" i="2"/>
  <c r="P161" i="2"/>
  <c r="P163" i="2"/>
  <c r="P165" i="2"/>
  <c r="P166" i="2"/>
  <c r="P168" i="2"/>
  <c r="P170" i="2"/>
  <c r="P172" i="2"/>
  <c r="P174" i="2"/>
  <c r="P176" i="2"/>
  <c r="Q155" i="2"/>
  <c r="P156" i="2"/>
  <c r="P158" i="2"/>
  <c r="P160" i="2"/>
  <c r="P162" i="2"/>
  <c r="P164" i="2"/>
  <c r="P167" i="2"/>
  <c r="P169" i="2"/>
  <c r="P171" i="2"/>
  <c r="P173" i="2"/>
  <c r="P175" i="2"/>
  <c r="P116" i="2"/>
  <c r="P117" i="2"/>
  <c r="Q106" i="2"/>
  <c r="P118" i="2"/>
  <c r="P119" i="2"/>
  <c r="P115" i="2"/>
  <c r="P114" i="2"/>
  <c r="P120" i="2"/>
  <c r="P121" i="2"/>
  <c r="P113" i="2"/>
  <c r="P112" i="2"/>
  <c r="P122" i="2"/>
  <c r="P123" i="2"/>
  <c r="P111" i="2"/>
  <c r="P124" i="2"/>
  <c r="P110" i="2"/>
  <c r="P125" i="2"/>
  <c r="P109" i="2"/>
  <c r="P108" i="2"/>
  <c r="P126" i="2"/>
  <c r="P107" i="2"/>
  <c r="P127" i="2"/>
  <c r="P141" i="2"/>
  <c r="P142" i="2"/>
  <c r="Q130" i="2"/>
  <c r="P140" i="2"/>
  <c r="P143" i="2"/>
  <c r="P139" i="2"/>
  <c r="P144" i="2"/>
  <c r="P138" i="2"/>
  <c r="P145" i="2"/>
  <c r="P146" i="2"/>
  <c r="P137" i="2"/>
  <c r="P136" i="2"/>
  <c r="P147" i="2"/>
  <c r="P148" i="2"/>
  <c r="P135" i="2"/>
  <c r="P149" i="2"/>
  <c r="P134" i="2"/>
  <c r="P133" i="2"/>
  <c r="P150" i="2"/>
  <c r="P151" i="2"/>
  <c r="P132" i="2"/>
  <c r="P131" i="2"/>
  <c r="P182" i="2"/>
  <c r="P184" i="2"/>
  <c r="P186" i="2"/>
  <c r="P188" i="2"/>
  <c r="P190" i="2"/>
  <c r="P191" i="2"/>
  <c r="P193" i="2"/>
  <c r="P195" i="2"/>
  <c r="P197" i="2"/>
  <c r="P199" i="2"/>
  <c r="P201" i="2"/>
  <c r="Q180" i="2"/>
  <c r="P181" i="2"/>
  <c r="P183" i="2"/>
  <c r="P185" i="2"/>
  <c r="P187" i="2"/>
  <c r="P189" i="2"/>
  <c r="P192" i="2"/>
  <c r="P194" i="2"/>
  <c r="P196" i="2"/>
  <c r="P198" i="2"/>
  <c r="P200" i="2"/>
  <c r="P84" i="2"/>
  <c r="P86" i="2"/>
  <c r="P88" i="2"/>
  <c r="P90" i="2"/>
  <c r="P92" i="2"/>
  <c r="P93" i="2"/>
  <c r="P95" i="2"/>
  <c r="P97" i="2"/>
  <c r="P99" i="2"/>
  <c r="P101" i="2"/>
  <c r="P103" i="2"/>
  <c r="Q82" i="2"/>
  <c r="P83" i="2"/>
  <c r="P85" i="2"/>
  <c r="P87" i="2"/>
  <c r="P89" i="2"/>
  <c r="P91" i="2"/>
  <c r="P94" i="2"/>
  <c r="P96" i="2"/>
  <c r="P98" i="2"/>
  <c r="P100" i="2"/>
  <c r="P102" i="2"/>
  <c r="R82" i="2" l="1"/>
  <c r="Q83" i="2"/>
  <c r="Q85" i="2"/>
  <c r="Q87" i="2"/>
  <c r="Q89" i="2"/>
  <c r="Q91" i="2"/>
  <c r="Q94" i="2"/>
  <c r="Q96" i="2"/>
  <c r="Q98" i="2"/>
  <c r="Q100" i="2"/>
  <c r="Q102" i="2"/>
  <c r="Q84" i="2"/>
  <c r="Q86" i="2"/>
  <c r="Q88" i="2"/>
  <c r="Q90" i="2"/>
  <c r="Q92" i="2"/>
  <c r="Q95" i="2"/>
  <c r="Q97" i="2"/>
  <c r="Q99" i="2"/>
  <c r="Q101" i="2"/>
  <c r="Q103" i="2"/>
  <c r="Q93" i="2"/>
  <c r="R180" i="2"/>
  <c r="Q181" i="2"/>
  <c r="Q183" i="2"/>
  <c r="Q185" i="2"/>
  <c r="Q187" i="2"/>
  <c r="Q189" i="2"/>
  <c r="Q192" i="2"/>
  <c r="Q194" i="2"/>
  <c r="Q196" i="2"/>
  <c r="Q198" i="2"/>
  <c r="Q200" i="2"/>
  <c r="Q191" i="2"/>
  <c r="Q182" i="2"/>
  <c r="Q184" i="2"/>
  <c r="Q186" i="2"/>
  <c r="Q188" i="2"/>
  <c r="Q190" i="2"/>
  <c r="Q193" i="2"/>
  <c r="Q195" i="2"/>
  <c r="Q197" i="2"/>
  <c r="Q199" i="2"/>
  <c r="Q201" i="2"/>
  <c r="R155" i="2"/>
  <c r="Q156" i="2"/>
  <c r="Q158" i="2"/>
  <c r="Q160" i="2"/>
  <c r="Q162" i="2"/>
  <c r="Q164" i="2"/>
  <c r="Q167" i="2"/>
  <c r="Q169" i="2"/>
  <c r="Q171" i="2"/>
  <c r="Q173" i="2"/>
  <c r="Q175" i="2"/>
  <c r="Q157" i="2"/>
  <c r="Q159" i="2"/>
  <c r="Q161" i="2"/>
  <c r="Q163" i="2"/>
  <c r="Q165" i="2"/>
  <c r="Q168" i="2"/>
  <c r="Q170" i="2"/>
  <c r="Q172" i="2"/>
  <c r="Q174" i="2"/>
  <c r="Q176" i="2"/>
  <c r="Q166" i="2"/>
  <c r="R130" i="2"/>
  <c r="Q142" i="2"/>
  <c r="Q141" i="2"/>
  <c r="Q143" i="2"/>
  <c r="Q140" i="2"/>
  <c r="Q144" i="2"/>
  <c r="Q139" i="2"/>
  <c r="Q138" i="2"/>
  <c r="Q145" i="2"/>
  <c r="Q146" i="2"/>
  <c r="Q137" i="2"/>
  <c r="Q136" i="2"/>
  <c r="Q147" i="2"/>
  <c r="Q135" i="2"/>
  <c r="Q148" i="2"/>
  <c r="Q149" i="2"/>
  <c r="Q134" i="2"/>
  <c r="Q150" i="2"/>
  <c r="Q133" i="2"/>
  <c r="Q151" i="2"/>
  <c r="Q132" i="2"/>
  <c r="Q131" i="2"/>
  <c r="R106" i="2"/>
  <c r="Q117" i="2"/>
  <c r="Q116" i="2"/>
  <c r="Q119" i="2"/>
  <c r="Q118" i="2"/>
  <c r="Q115" i="2"/>
  <c r="Q120" i="2"/>
  <c r="Q114" i="2"/>
  <c r="Q121" i="2"/>
  <c r="Q113" i="2"/>
  <c r="Q122" i="2"/>
  <c r="Q112" i="2"/>
  <c r="Q123" i="2"/>
  <c r="Q111" i="2"/>
  <c r="Q124" i="2"/>
  <c r="Q110" i="2"/>
  <c r="Q109" i="2"/>
  <c r="Q125" i="2"/>
  <c r="Q126" i="2"/>
  <c r="Q108" i="2"/>
  <c r="Q107" i="2"/>
  <c r="Q127" i="2"/>
  <c r="Q57" i="2"/>
  <c r="P58" i="2"/>
  <c r="P34" i="2" s="1"/>
  <c r="P60" i="2"/>
  <c r="P36" i="2" s="1"/>
  <c r="P62" i="2"/>
  <c r="P38" i="2" s="1"/>
  <c r="P64" i="2"/>
  <c r="P40" i="2" s="1"/>
  <c r="P66" i="2"/>
  <c r="P42" i="2" s="1"/>
  <c r="P61" i="2"/>
  <c r="P37" i="2" s="1"/>
  <c r="P65" i="2"/>
  <c r="P41" i="2" s="1"/>
  <c r="P67" i="2"/>
  <c r="P43" i="2" s="1"/>
  <c r="P68" i="2"/>
  <c r="P44" i="2" s="1"/>
  <c r="P70" i="2"/>
  <c r="P46" i="2" s="1"/>
  <c r="P72" i="2"/>
  <c r="P48" i="2" s="1"/>
  <c r="P74" i="2"/>
  <c r="P50" i="2" s="1"/>
  <c r="P76" i="2"/>
  <c r="P52" i="2" s="1"/>
  <c r="P78" i="2"/>
  <c r="P54" i="2" s="1"/>
  <c r="P69" i="2"/>
  <c r="P45" i="2" s="1"/>
  <c r="P77" i="2"/>
  <c r="P53" i="2" s="1"/>
  <c r="P73" i="2"/>
  <c r="P49" i="2" s="1"/>
  <c r="P75" i="2"/>
  <c r="P51" i="2" s="1"/>
  <c r="P59" i="2"/>
  <c r="P35" i="2" s="1"/>
  <c r="P63" i="2"/>
  <c r="P39" i="2" s="1"/>
  <c r="P71" i="2"/>
  <c r="P47" i="2" s="1"/>
  <c r="Q59" i="2" l="1"/>
  <c r="Q35" i="2" s="1"/>
  <c r="Q61" i="2"/>
  <c r="Q37" i="2" s="1"/>
  <c r="Q63" i="2"/>
  <c r="Q39" i="2" s="1"/>
  <c r="Q65" i="2"/>
  <c r="Q41" i="2" s="1"/>
  <c r="Q67" i="2"/>
  <c r="Q43" i="2" s="1"/>
  <c r="Q68" i="2"/>
  <c r="Q44" i="2" s="1"/>
  <c r="Q60" i="2"/>
  <c r="Q36" i="2" s="1"/>
  <c r="Q64" i="2"/>
  <c r="Q40" i="2" s="1"/>
  <c r="Q69" i="2"/>
  <c r="Q45" i="2" s="1"/>
  <c r="Q71" i="2"/>
  <c r="Q47" i="2" s="1"/>
  <c r="Q73" i="2"/>
  <c r="Q49" i="2" s="1"/>
  <c r="Q75" i="2"/>
  <c r="Q51" i="2" s="1"/>
  <c r="Q77" i="2"/>
  <c r="Q53" i="2" s="1"/>
  <c r="Q58" i="2"/>
  <c r="Q34" i="2" s="1"/>
  <c r="Q62" i="2"/>
  <c r="Q38" i="2" s="1"/>
  <c r="Q70" i="2"/>
  <c r="Q46" i="2" s="1"/>
  <c r="Q72" i="2"/>
  <c r="Q48" i="2" s="1"/>
  <c r="Q76" i="2"/>
  <c r="Q52" i="2" s="1"/>
  <c r="Q78" i="2"/>
  <c r="Q54" i="2" s="1"/>
  <c r="Q66" i="2"/>
  <c r="Q42" i="2" s="1"/>
  <c r="R57" i="2"/>
  <c r="Q74" i="2"/>
  <c r="Q50" i="2" s="1"/>
  <c r="R116" i="2"/>
  <c r="S106" i="2"/>
  <c r="R118" i="2"/>
  <c r="R117" i="2"/>
  <c r="R119" i="2"/>
  <c r="R115" i="2"/>
  <c r="R114" i="2"/>
  <c r="R120" i="2"/>
  <c r="R121" i="2"/>
  <c r="R113" i="2"/>
  <c r="R112" i="2"/>
  <c r="R122" i="2"/>
  <c r="R123" i="2"/>
  <c r="R111" i="2"/>
  <c r="R124" i="2"/>
  <c r="R110" i="2"/>
  <c r="R109" i="2"/>
  <c r="R125" i="2"/>
  <c r="R126" i="2"/>
  <c r="R108" i="2"/>
  <c r="R107" i="2"/>
  <c r="R127" i="2"/>
  <c r="R141" i="2"/>
  <c r="S130" i="2"/>
  <c r="R142" i="2"/>
  <c r="R140" i="2"/>
  <c r="R143" i="2"/>
  <c r="R139" i="2"/>
  <c r="R144" i="2"/>
  <c r="R138" i="2"/>
  <c r="R145" i="2"/>
  <c r="R146" i="2"/>
  <c r="R137" i="2"/>
  <c r="R136" i="2"/>
  <c r="R147" i="2"/>
  <c r="R148" i="2"/>
  <c r="R135" i="2"/>
  <c r="R134" i="2"/>
  <c r="R149" i="2"/>
  <c r="R133" i="2"/>
  <c r="R150" i="2"/>
  <c r="R151" i="2"/>
  <c r="R132" i="2"/>
  <c r="R131" i="2"/>
  <c r="R157" i="2"/>
  <c r="R159" i="2"/>
  <c r="R161" i="2"/>
  <c r="R163" i="2"/>
  <c r="R165" i="2"/>
  <c r="R166" i="2"/>
  <c r="R168" i="2"/>
  <c r="R170" i="2"/>
  <c r="R172" i="2"/>
  <c r="R174" i="2"/>
  <c r="R176" i="2"/>
  <c r="S155" i="2"/>
  <c r="R156" i="2"/>
  <c r="R158" i="2"/>
  <c r="R160" i="2"/>
  <c r="R162" i="2"/>
  <c r="R164" i="2"/>
  <c r="R167" i="2"/>
  <c r="R169" i="2"/>
  <c r="R171" i="2"/>
  <c r="R173" i="2"/>
  <c r="R175" i="2"/>
  <c r="R182" i="2"/>
  <c r="R184" i="2"/>
  <c r="R186" i="2"/>
  <c r="R188" i="2"/>
  <c r="R190" i="2"/>
  <c r="R191" i="2"/>
  <c r="R193" i="2"/>
  <c r="R195" i="2"/>
  <c r="R197" i="2"/>
  <c r="R199" i="2"/>
  <c r="R201" i="2"/>
  <c r="S180" i="2"/>
  <c r="R181" i="2"/>
  <c r="R183" i="2"/>
  <c r="R185" i="2"/>
  <c r="R187" i="2"/>
  <c r="R189" i="2"/>
  <c r="R192" i="2"/>
  <c r="R194" i="2"/>
  <c r="R196" i="2"/>
  <c r="R198" i="2"/>
  <c r="R200" i="2"/>
  <c r="R84" i="2"/>
  <c r="R86" i="2"/>
  <c r="R88" i="2"/>
  <c r="R90" i="2"/>
  <c r="R92" i="2"/>
  <c r="R93" i="2"/>
  <c r="R95" i="2"/>
  <c r="R97" i="2"/>
  <c r="R99" i="2"/>
  <c r="R101" i="2"/>
  <c r="R103" i="2"/>
  <c r="R85" i="2"/>
  <c r="R89" i="2"/>
  <c r="R94" i="2"/>
  <c r="R96" i="2"/>
  <c r="R98" i="2"/>
  <c r="R100" i="2"/>
  <c r="R102" i="2"/>
  <c r="S82" i="2"/>
  <c r="R83" i="2"/>
  <c r="R87" i="2"/>
  <c r="R91" i="2"/>
  <c r="T82" i="2" l="1"/>
  <c r="S83" i="2"/>
  <c r="S85" i="2"/>
  <c r="S87" i="2"/>
  <c r="S89" i="2"/>
  <c r="S91" i="2"/>
  <c r="S94" i="2"/>
  <c r="S96" i="2"/>
  <c r="S98" i="2"/>
  <c r="S100" i="2"/>
  <c r="S102" i="2"/>
  <c r="S93" i="2"/>
  <c r="S84" i="2"/>
  <c r="S88" i="2"/>
  <c r="S95" i="2"/>
  <c r="S97" i="2"/>
  <c r="S99" i="2"/>
  <c r="S101" i="2"/>
  <c r="S103" i="2"/>
  <c r="S86" i="2"/>
  <c r="S90" i="2"/>
  <c r="S92" i="2"/>
  <c r="T130" i="2"/>
  <c r="S142" i="2"/>
  <c r="S141" i="2"/>
  <c r="S143" i="2"/>
  <c r="S140" i="2"/>
  <c r="S139" i="2"/>
  <c r="S144" i="2"/>
  <c r="S138" i="2"/>
  <c r="S145" i="2"/>
  <c r="S146" i="2"/>
  <c r="S137" i="2"/>
  <c r="S136" i="2"/>
  <c r="S147" i="2"/>
  <c r="S148" i="2"/>
  <c r="S135" i="2"/>
  <c r="S134" i="2"/>
  <c r="S149" i="2"/>
  <c r="S133" i="2"/>
  <c r="S150" i="2"/>
  <c r="S132" i="2"/>
  <c r="S151" i="2"/>
  <c r="S131" i="2"/>
  <c r="T106" i="2"/>
  <c r="S117" i="2"/>
  <c r="S116" i="2"/>
  <c r="S115" i="2"/>
  <c r="S119" i="2"/>
  <c r="S118" i="2"/>
  <c r="S114" i="2"/>
  <c r="S120" i="2"/>
  <c r="S121" i="2"/>
  <c r="S113" i="2"/>
  <c r="S112" i="2"/>
  <c r="S122" i="2"/>
  <c r="S111" i="2"/>
  <c r="S123" i="2"/>
  <c r="S124" i="2"/>
  <c r="S110" i="2"/>
  <c r="S109" i="2"/>
  <c r="S125" i="2"/>
  <c r="S108" i="2"/>
  <c r="S126" i="2"/>
  <c r="S107" i="2"/>
  <c r="S127" i="2"/>
  <c r="T180" i="2"/>
  <c r="S181" i="2"/>
  <c r="S183" i="2"/>
  <c r="S185" i="2"/>
  <c r="S187" i="2"/>
  <c r="S189" i="2"/>
  <c r="S192" i="2"/>
  <c r="S194" i="2"/>
  <c r="S196" i="2"/>
  <c r="S198" i="2"/>
  <c r="S200" i="2"/>
  <c r="S182" i="2"/>
  <c r="S184" i="2"/>
  <c r="S186" i="2"/>
  <c r="S188" i="2"/>
  <c r="S190" i="2"/>
  <c r="S193" i="2"/>
  <c r="S195" i="2"/>
  <c r="S197" i="2"/>
  <c r="S199" i="2"/>
  <c r="S201" i="2"/>
  <c r="S191" i="2"/>
  <c r="T155" i="2"/>
  <c r="S156" i="2"/>
  <c r="S158" i="2"/>
  <c r="S160" i="2"/>
  <c r="S162" i="2"/>
  <c r="S164" i="2"/>
  <c r="S167" i="2"/>
  <c r="S169" i="2"/>
  <c r="S171" i="2"/>
  <c r="S173" i="2"/>
  <c r="S175" i="2"/>
  <c r="S166" i="2"/>
  <c r="S157" i="2"/>
  <c r="S159" i="2"/>
  <c r="S161" i="2"/>
  <c r="S163" i="2"/>
  <c r="S165" i="2"/>
  <c r="S168" i="2"/>
  <c r="S170" i="2"/>
  <c r="S172" i="2"/>
  <c r="S174" i="2"/>
  <c r="S176" i="2"/>
  <c r="S57" i="2"/>
  <c r="R58" i="2"/>
  <c r="R34" i="2" s="1"/>
  <c r="R60" i="2"/>
  <c r="R36" i="2" s="1"/>
  <c r="R62" i="2"/>
  <c r="R38" i="2" s="1"/>
  <c r="R64" i="2"/>
  <c r="R40" i="2" s="1"/>
  <c r="R66" i="2"/>
  <c r="R42" i="2" s="1"/>
  <c r="R59" i="2"/>
  <c r="R35" i="2" s="1"/>
  <c r="R63" i="2"/>
  <c r="R39" i="2" s="1"/>
  <c r="R70" i="2"/>
  <c r="R46" i="2" s="1"/>
  <c r="R72" i="2"/>
  <c r="R48" i="2" s="1"/>
  <c r="R74" i="2"/>
  <c r="R50" i="2" s="1"/>
  <c r="R76" i="2"/>
  <c r="R52" i="2" s="1"/>
  <c r="R78" i="2"/>
  <c r="R54" i="2" s="1"/>
  <c r="R67" i="2"/>
  <c r="R43" i="2" s="1"/>
  <c r="R68" i="2"/>
  <c r="R44" i="2" s="1"/>
  <c r="R71" i="2"/>
  <c r="R47" i="2" s="1"/>
  <c r="R73" i="2"/>
  <c r="R49" i="2" s="1"/>
  <c r="R75" i="2"/>
  <c r="R51" i="2" s="1"/>
  <c r="R61" i="2"/>
  <c r="R37" i="2" s="1"/>
  <c r="R65" i="2"/>
  <c r="R41" i="2" s="1"/>
  <c r="R69" i="2"/>
  <c r="R45" i="2" s="1"/>
  <c r="R77" i="2"/>
  <c r="R53" i="2" s="1"/>
  <c r="S59" i="2" l="1"/>
  <c r="S35" i="2" s="1"/>
  <c r="S61" i="2"/>
  <c r="S37" i="2" s="1"/>
  <c r="S63" i="2"/>
  <c r="S39" i="2" s="1"/>
  <c r="S65" i="2"/>
  <c r="S41" i="2" s="1"/>
  <c r="S67" i="2"/>
  <c r="S43" i="2" s="1"/>
  <c r="S68" i="2"/>
  <c r="S44" i="2" s="1"/>
  <c r="T57" i="2"/>
  <c r="S58" i="2"/>
  <c r="S34" i="2" s="1"/>
  <c r="S62" i="2"/>
  <c r="S38" i="2" s="1"/>
  <c r="S66" i="2"/>
  <c r="S42" i="2" s="1"/>
  <c r="S69" i="2"/>
  <c r="S45" i="2" s="1"/>
  <c r="S71" i="2"/>
  <c r="S47" i="2" s="1"/>
  <c r="S73" i="2"/>
  <c r="S49" i="2" s="1"/>
  <c r="S75" i="2"/>
  <c r="S51" i="2" s="1"/>
  <c r="S77" i="2"/>
  <c r="S53" i="2" s="1"/>
  <c r="S74" i="2"/>
  <c r="S50" i="2" s="1"/>
  <c r="S60" i="2"/>
  <c r="S36" i="2" s="1"/>
  <c r="S64" i="2"/>
  <c r="S40" i="2" s="1"/>
  <c r="S70" i="2"/>
  <c r="S46" i="2" s="1"/>
  <c r="S72" i="2"/>
  <c r="S48" i="2" s="1"/>
  <c r="S76" i="2"/>
  <c r="S52" i="2" s="1"/>
  <c r="S78" i="2"/>
  <c r="S54" i="2" s="1"/>
  <c r="T157" i="2"/>
  <c r="T159" i="2"/>
  <c r="T161" i="2"/>
  <c r="T163" i="2"/>
  <c r="T165" i="2"/>
  <c r="T166" i="2"/>
  <c r="T168" i="2"/>
  <c r="T170" i="2"/>
  <c r="T172" i="2"/>
  <c r="T174" i="2"/>
  <c r="T176" i="2"/>
  <c r="U155" i="2"/>
  <c r="T156" i="2"/>
  <c r="T158" i="2"/>
  <c r="T160" i="2"/>
  <c r="T162" i="2"/>
  <c r="T164" i="2"/>
  <c r="T167" i="2"/>
  <c r="T169" i="2"/>
  <c r="T171" i="2"/>
  <c r="T173" i="2"/>
  <c r="T175" i="2"/>
  <c r="T182" i="2"/>
  <c r="T184" i="2"/>
  <c r="T186" i="2"/>
  <c r="T188" i="2"/>
  <c r="T190" i="2"/>
  <c r="T191" i="2"/>
  <c r="T193" i="2"/>
  <c r="T195" i="2"/>
  <c r="T197" i="2"/>
  <c r="T199" i="2"/>
  <c r="T201" i="2"/>
  <c r="U180" i="2"/>
  <c r="T181" i="2"/>
  <c r="T183" i="2"/>
  <c r="T185" i="2"/>
  <c r="T187" i="2"/>
  <c r="T189" i="2"/>
  <c r="T192" i="2"/>
  <c r="T194" i="2"/>
  <c r="T196" i="2"/>
  <c r="T198" i="2"/>
  <c r="T200" i="2"/>
  <c r="T116" i="2"/>
  <c r="T117" i="2"/>
  <c r="T118" i="2"/>
  <c r="U106" i="2"/>
  <c r="T115" i="2"/>
  <c r="T119" i="2"/>
  <c r="T114" i="2"/>
  <c r="T120" i="2"/>
  <c r="T113" i="2"/>
  <c r="T121" i="2"/>
  <c r="T112" i="2"/>
  <c r="T122" i="2"/>
  <c r="T123" i="2"/>
  <c r="T111" i="2"/>
  <c r="T124" i="2"/>
  <c r="T110" i="2"/>
  <c r="T109" i="2"/>
  <c r="T125" i="2"/>
  <c r="T126" i="2"/>
  <c r="T108" i="2"/>
  <c r="T127" i="2"/>
  <c r="T107" i="2"/>
  <c r="T141" i="2"/>
  <c r="T142" i="2"/>
  <c r="U130" i="2"/>
  <c r="T140" i="2"/>
  <c r="T143" i="2"/>
  <c r="T139" i="2"/>
  <c r="T144" i="2"/>
  <c r="T138" i="2"/>
  <c r="T145" i="2"/>
  <c r="T146" i="2"/>
  <c r="T137" i="2"/>
  <c r="T136" i="2"/>
  <c r="T147" i="2"/>
  <c r="T148" i="2"/>
  <c r="T135" i="2"/>
  <c r="T149" i="2"/>
  <c r="T134" i="2"/>
  <c r="T150" i="2"/>
  <c r="T133" i="2"/>
  <c r="T151" i="2"/>
  <c r="T132" i="2"/>
  <c r="T131" i="2"/>
  <c r="T84" i="2"/>
  <c r="T86" i="2"/>
  <c r="T88" i="2"/>
  <c r="T90" i="2"/>
  <c r="T92" i="2"/>
  <c r="T93" i="2"/>
  <c r="T95" i="2"/>
  <c r="T97" i="2"/>
  <c r="T99" i="2"/>
  <c r="T101" i="2"/>
  <c r="T103" i="2"/>
  <c r="U82" i="2"/>
  <c r="T83" i="2"/>
  <c r="T85" i="2"/>
  <c r="T87" i="2"/>
  <c r="T89" i="2"/>
  <c r="T91" i="2"/>
  <c r="T94" i="2"/>
  <c r="T96" i="2"/>
  <c r="T98" i="2"/>
  <c r="T100" i="2"/>
  <c r="T102" i="2"/>
  <c r="V130" i="2" l="1"/>
  <c r="U142" i="2"/>
  <c r="U141" i="2"/>
  <c r="U143" i="2"/>
  <c r="U140" i="2"/>
  <c r="U144" i="2"/>
  <c r="U139" i="2"/>
  <c r="U138" i="2"/>
  <c r="U145" i="2"/>
  <c r="U146" i="2"/>
  <c r="U137" i="2"/>
  <c r="U136" i="2"/>
  <c r="U147" i="2"/>
  <c r="U135" i="2"/>
  <c r="U148" i="2"/>
  <c r="U134" i="2"/>
  <c r="U149" i="2"/>
  <c r="U150" i="2"/>
  <c r="U133" i="2"/>
  <c r="U132" i="2"/>
  <c r="U151" i="2"/>
  <c r="U131" i="2"/>
  <c r="V82" i="2"/>
  <c r="U83" i="2"/>
  <c r="U85" i="2"/>
  <c r="U87" i="2"/>
  <c r="U89" i="2"/>
  <c r="U91" i="2"/>
  <c r="U94" i="2"/>
  <c r="U96" i="2"/>
  <c r="U98" i="2"/>
  <c r="U100" i="2"/>
  <c r="U102" i="2"/>
  <c r="U84" i="2"/>
  <c r="U86" i="2"/>
  <c r="U88" i="2"/>
  <c r="U90" i="2"/>
  <c r="U92" i="2"/>
  <c r="U95" i="2"/>
  <c r="U97" i="2"/>
  <c r="U99" i="2"/>
  <c r="U101" i="2"/>
  <c r="U103" i="2"/>
  <c r="U93" i="2"/>
  <c r="V106" i="2"/>
  <c r="U117" i="2"/>
  <c r="U116" i="2"/>
  <c r="U115" i="2"/>
  <c r="U119" i="2"/>
  <c r="U118" i="2"/>
  <c r="U114" i="2"/>
  <c r="U120" i="2"/>
  <c r="U113" i="2"/>
  <c r="U121" i="2"/>
  <c r="U122" i="2"/>
  <c r="U112" i="2"/>
  <c r="U123" i="2"/>
  <c r="U111" i="2"/>
  <c r="U124" i="2"/>
  <c r="U110" i="2"/>
  <c r="U125" i="2"/>
  <c r="U109" i="2"/>
  <c r="U126" i="2"/>
  <c r="U108" i="2"/>
  <c r="U107" i="2"/>
  <c r="U127" i="2"/>
  <c r="V180" i="2"/>
  <c r="U181" i="2"/>
  <c r="U183" i="2"/>
  <c r="U185" i="2"/>
  <c r="U187" i="2"/>
  <c r="U189" i="2"/>
  <c r="U192" i="2"/>
  <c r="U194" i="2"/>
  <c r="U196" i="2"/>
  <c r="U198" i="2"/>
  <c r="U200" i="2"/>
  <c r="U191" i="2"/>
  <c r="U182" i="2"/>
  <c r="U184" i="2"/>
  <c r="U186" i="2"/>
  <c r="U188" i="2"/>
  <c r="U190" i="2"/>
  <c r="U193" i="2"/>
  <c r="U195" i="2"/>
  <c r="U197" i="2"/>
  <c r="U199" i="2"/>
  <c r="U201" i="2"/>
  <c r="V155" i="2"/>
  <c r="U156" i="2"/>
  <c r="U158" i="2"/>
  <c r="U160" i="2"/>
  <c r="U162" i="2"/>
  <c r="U164" i="2"/>
  <c r="U167" i="2"/>
  <c r="U169" i="2"/>
  <c r="U171" i="2"/>
  <c r="U173" i="2"/>
  <c r="U175" i="2"/>
  <c r="U157" i="2"/>
  <c r="U159" i="2"/>
  <c r="U161" i="2"/>
  <c r="U163" i="2"/>
  <c r="U165" i="2"/>
  <c r="U168" i="2"/>
  <c r="U170" i="2"/>
  <c r="U172" i="2"/>
  <c r="U174" i="2"/>
  <c r="U176" i="2"/>
  <c r="U166" i="2"/>
  <c r="U57" i="2"/>
  <c r="T58" i="2"/>
  <c r="T34" i="2" s="1"/>
  <c r="T60" i="2"/>
  <c r="T36" i="2" s="1"/>
  <c r="T62" i="2"/>
  <c r="T38" i="2" s="1"/>
  <c r="T64" i="2"/>
  <c r="T40" i="2" s="1"/>
  <c r="T66" i="2"/>
  <c r="T42" i="2" s="1"/>
  <c r="T61" i="2"/>
  <c r="T37" i="2" s="1"/>
  <c r="T65" i="2"/>
  <c r="T41" i="2" s="1"/>
  <c r="T67" i="2"/>
  <c r="T43" i="2" s="1"/>
  <c r="T68" i="2"/>
  <c r="T44" i="2" s="1"/>
  <c r="T70" i="2"/>
  <c r="T46" i="2" s="1"/>
  <c r="T72" i="2"/>
  <c r="T48" i="2" s="1"/>
  <c r="T74" i="2"/>
  <c r="T50" i="2" s="1"/>
  <c r="T76" i="2"/>
  <c r="T52" i="2" s="1"/>
  <c r="T78" i="2"/>
  <c r="T54" i="2" s="1"/>
  <c r="T59" i="2"/>
  <c r="T35" i="2" s="1"/>
  <c r="T63" i="2"/>
  <c r="T39" i="2" s="1"/>
  <c r="T69" i="2"/>
  <c r="T45" i="2" s="1"/>
  <c r="T77" i="2"/>
  <c r="T53" i="2" s="1"/>
  <c r="T71" i="2"/>
  <c r="T47" i="2" s="1"/>
  <c r="T73" i="2"/>
  <c r="T49" i="2" s="1"/>
  <c r="T75" i="2"/>
  <c r="T51" i="2" s="1"/>
  <c r="U59" i="2" l="1"/>
  <c r="U35" i="2" s="1"/>
  <c r="U61" i="2"/>
  <c r="U37" i="2" s="1"/>
  <c r="U63" i="2"/>
  <c r="U39" i="2" s="1"/>
  <c r="U65" i="2"/>
  <c r="U41" i="2" s="1"/>
  <c r="U67" i="2"/>
  <c r="U43" i="2" s="1"/>
  <c r="U68" i="2"/>
  <c r="U44" i="2" s="1"/>
  <c r="U60" i="2"/>
  <c r="U36" i="2" s="1"/>
  <c r="U64" i="2"/>
  <c r="U40" i="2" s="1"/>
  <c r="U69" i="2"/>
  <c r="U45" i="2" s="1"/>
  <c r="U71" i="2"/>
  <c r="U47" i="2" s="1"/>
  <c r="U73" i="2"/>
  <c r="U49" i="2" s="1"/>
  <c r="U75" i="2"/>
  <c r="U51" i="2" s="1"/>
  <c r="U77" i="2"/>
  <c r="U53" i="2" s="1"/>
  <c r="V57" i="2"/>
  <c r="U66" i="2"/>
  <c r="U42" i="2" s="1"/>
  <c r="U70" i="2"/>
  <c r="U46" i="2" s="1"/>
  <c r="U72" i="2"/>
  <c r="U48" i="2" s="1"/>
  <c r="U76" i="2"/>
  <c r="U52" i="2" s="1"/>
  <c r="U78" i="2"/>
  <c r="U54" i="2" s="1"/>
  <c r="U58" i="2"/>
  <c r="U34" i="2" s="1"/>
  <c r="U62" i="2"/>
  <c r="U38" i="2" s="1"/>
  <c r="U74" i="2"/>
  <c r="U50" i="2" s="1"/>
  <c r="V157" i="2"/>
  <c r="V159" i="2"/>
  <c r="V161" i="2"/>
  <c r="V163" i="2"/>
  <c r="V165" i="2"/>
  <c r="V166" i="2"/>
  <c r="V168" i="2"/>
  <c r="V170" i="2"/>
  <c r="V172" i="2"/>
  <c r="V174" i="2"/>
  <c r="V176" i="2"/>
  <c r="W155" i="2"/>
  <c r="V156" i="2"/>
  <c r="V158" i="2"/>
  <c r="V160" i="2"/>
  <c r="V162" i="2"/>
  <c r="V164" i="2"/>
  <c r="V167" i="2"/>
  <c r="V169" i="2"/>
  <c r="V171" i="2"/>
  <c r="V173" i="2"/>
  <c r="V175" i="2"/>
  <c r="V182" i="2"/>
  <c r="V184" i="2"/>
  <c r="V186" i="2"/>
  <c r="V188" i="2"/>
  <c r="V190" i="2"/>
  <c r="V191" i="2"/>
  <c r="V193" i="2"/>
  <c r="V195" i="2"/>
  <c r="V197" i="2"/>
  <c r="V199" i="2"/>
  <c r="V201" i="2"/>
  <c r="W180" i="2"/>
  <c r="V181" i="2"/>
  <c r="V183" i="2"/>
  <c r="V185" i="2"/>
  <c r="V187" i="2"/>
  <c r="V189" i="2"/>
  <c r="V192" i="2"/>
  <c r="V194" i="2"/>
  <c r="V196" i="2"/>
  <c r="V198" i="2"/>
  <c r="V200" i="2"/>
  <c r="V116" i="2"/>
  <c r="W106" i="2"/>
  <c r="V118" i="2"/>
  <c r="V117" i="2"/>
  <c r="V119" i="2"/>
  <c r="V115" i="2"/>
  <c r="V120" i="2"/>
  <c r="V114" i="2"/>
  <c r="V121" i="2"/>
  <c r="V113" i="2"/>
  <c r="V112" i="2"/>
  <c r="V122" i="2"/>
  <c r="V123" i="2"/>
  <c r="V111" i="2"/>
  <c r="V110" i="2"/>
  <c r="V124" i="2"/>
  <c r="V109" i="2"/>
  <c r="V125" i="2"/>
  <c r="V126" i="2"/>
  <c r="V108" i="2"/>
  <c r="V107" i="2"/>
  <c r="V127" i="2"/>
  <c r="V84" i="2"/>
  <c r="V86" i="2"/>
  <c r="V88" i="2"/>
  <c r="V90" i="2"/>
  <c r="V92" i="2"/>
  <c r="V93" i="2"/>
  <c r="V95" i="2"/>
  <c r="V97" i="2"/>
  <c r="V99" i="2"/>
  <c r="V101" i="2"/>
  <c r="V103" i="2"/>
  <c r="W82" i="2"/>
  <c r="V83" i="2"/>
  <c r="V87" i="2"/>
  <c r="V91" i="2"/>
  <c r="V85" i="2"/>
  <c r="V89" i="2"/>
  <c r="V94" i="2"/>
  <c r="V96" i="2"/>
  <c r="V98" i="2"/>
  <c r="V100" i="2"/>
  <c r="V102" i="2"/>
  <c r="V141" i="2"/>
  <c r="W130" i="2"/>
  <c r="V142" i="2"/>
  <c r="V140" i="2"/>
  <c r="V143" i="2"/>
  <c r="V139" i="2"/>
  <c r="V144" i="2"/>
  <c r="V138" i="2"/>
  <c r="V145" i="2"/>
  <c r="V146" i="2"/>
  <c r="V137" i="2"/>
  <c r="V136" i="2"/>
  <c r="V147" i="2"/>
  <c r="V148" i="2"/>
  <c r="V135" i="2"/>
  <c r="V134" i="2"/>
  <c r="V149" i="2"/>
  <c r="V150" i="2"/>
  <c r="V133" i="2"/>
  <c r="V151" i="2"/>
  <c r="V132" i="2"/>
  <c r="V131" i="2"/>
  <c r="W142" i="2" l="1"/>
  <c r="W141" i="2"/>
  <c r="W143" i="2"/>
  <c r="W140" i="2"/>
  <c r="W139" i="2"/>
  <c r="W144" i="2"/>
  <c r="W138" i="2"/>
  <c r="W145" i="2"/>
  <c r="W146" i="2"/>
  <c r="W137" i="2"/>
  <c r="W136" i="2"/>
  <c r="W147" i="2"/>
  <c r="W148" i="2"/>
  <c r="W135" i="2"/>
  <c r="W149" i="2"/>
  <c r="W134" i="2"/>
  <c r="W133" i="2"/>
  <c r="W150" i="2"/>
  <c r="W151" i="2"/>
  <c r="W132" i="2"/>
  <c r="W131" i="2"/>
  <c r="W83" i="2"/>
  <c r="W85" i="2"/>
  <c r="W87" i="2"/>
  <c r="W89" i="2"/>
  <c r="W91" i="2"/>
  <c r="W94" i="2"/>
  <c r="W96" i="2"/>
  <c r="W98" i="2"/>
  <c r="W100" i="2"/>
  <c r="W102" i="2"/>
  <c r="W93" i="2"/>
  <c r="W86" i="2"/>
  <c r="W90" i="2"/>
  <c r="W92" i="2"/>
  <c r="W84" i="2"/>
  <c r="W88" i="2"/>
  <c r="W95" i="2"/>
  <c r="W97" i="2"/>
  <c r="W99" i="2"/>
  <c r="W101" i="2"/>
  <c r="W103" i="2"/>
  <c r="W117" i="2"/>
  <c r="W116" i="2"/>
  <c r="W115" i="2"/>
  <c r="W119" i="2"/>
  <c r="W118" i="2"/>
  <c r="W114" i="2"/>
  <c r="W120" i="2"/>
  <c r="W121" i="2"/>
  <c r="W113" i="2"/>
  <c r="W112" i="2"/>
  <c r="W122" i="2"/>
  <c r="W123" i="2"/>
  <c r="W111" i="2"/>
  <c r="W110" i="2"/>
  <c r="W124" i="2"/>
  <c r="W109" i="2"/>
  <c r="W125" i="2"/>
  <c r="W126" i="2"/>
  <c r="W108" i="2"/>
  <c r="W127" i="2"/>
  <c r="W107" i="2"/>
  <c r="W181" i="2"/>
  <c r="W183" i="2"/>
  <c r="W185" i="2"/>
  <c r="W187" i="2"/>
  <c r="W189" i="2"/>
  <c r="W192" i="2"/>
  <c r="W194" i="2"/>
  <c r="W196" i="2"/>
  <c r="W198" i="2"/>
  <c r="W200" i="2"/>
  <c r="W182" i="2"/>
  <c r="W184" i="2"/>
  <c r="W186" i="2"/>
  <c r="W188" i="2"/>
  <c r="W190" i="2"/>
  <c r="W193" i="2"/>
  <c r="W195" i="2"/>
  <c r="W197" i="2"/>
  <c r="W199" i="2"/>
  <c r="W201" i="2"/>
  <c r="W191" i="2"/>
  <c r="W156" i="2"/>
  <c r="W158" i="2"/>
  <c r="W160" i="2"/>
  <c r="W162" i="2"/>
  <c r="W164" i="2"/>
  <c r="W167" i="2"/>
  <c r="W169" i="2"/>
  <c r="W171" i="2"/>
  <c r="W173" i="2"/>
  <c r="W175" i="2"/>
  <c r="W166" i="2"/>
  <c r="W157" i="2"/>
  <c r="W159" i="2"/>
  <c r="W161" i="2"/>
  <c r="W163" i="2"/>
  <c r="W165" i="2"/>
  <c r="W168" i="2"/>
  <c r="W170" i="2"/>
  <c r="W172" i="2"/>
  <c r="W174" i="2"/>
  <c r="W176" i="2"/>
  <c r="W57" i="2"/>
  <c r="V58" i="2"/>
  <c r="V34" i="2" s="1"/>
  <c r="V60" i="2"/>
  <c r="V36" i="2" s="1"/>
  <c r="V62" i="2"/>
  <c r="V38" i="2" s="1"/>
  <c r="V64" i="2"/>
  <c r="V40" i="2" s="1"/>
  <c r="V66" i="2"/>
  <c r="V42" i="2" s="1"/>
  <c r="V59" i="2"/>
  <c r="V35" i="2" s="1"/>
  <c r="V63" i="2"/>
  <c r="V39" i="2" s="1"/>
  <c r="V70" i="2"/>
  <c r="V46" i="2" s="1"/>
  <c r="V72" i="2"/>
  <c r="V48" i="2" s="1"/>
  <c r="V74" i="2"/>
  <c r="V50" i="2" s="1"/>
  <c r="V76" i="2"/>
  <c r="V52" i="2" s="1"/>
  <c r="V78" i="2"/>
  <c r="V54" i="2" s="1"/>
  <c r="V61" i="2"/>
  <c r="V37" i="2" s="1"/>
  <c r="V65" i="2"/>
  <c r="V41" i="2" s="1"/>
  <c r="V71" i="2"/>
  <c r="V47" i="2" s="1"/>
  <c r="V73" i="2"/>
  <c r="V49" i="2" s="1"/>
  <c r="V75" i="2"/>
  <c r="V51" i="2" s="1"/>
  <c r="V69" i="2"/>
  <c r="V45" i="2" s="1"/>
  <c r="V77" i="2"/>
  <c r="V53" i="2" s="1"/>
  <c r="V67" i="2"/>
  <c r="V43" i="2" s="1"/>
  <c r="V68" i="2"/>
  <c r="V44" i="2" s="1"/>
  <c r="W59" i="2" l="1"/>
  <c r="W35" i="2" s="1"/>
  <c r="W61" i="2"/>
  <c r="W37" i="2" s="1"/>
  <c r="W63" i="2"/>
  <c r="W39" i="2" s="1"/>
  <c r="W65" i="2"/>
  <c r="W41" i="2" s="1"/>
  <c r="W67" i="2"/>
  <c r="W43" i="2" s="1"/>
  <c r="W68" i="2"/>
  <c r="W44" i="2" s="1"/>
  <c r="W58" i="2"/>
  <c r="W34" i="2" s="1"/>
  <c r="W62" i="2"/>
  <c r="W38" i="2" s="1"/>
  <c r="W66" i="2"/>
  <c r="W42" i="2" s="1"/>
  <c r="W69" i="2"/>
  <c r="W45" i="2" s="1"/>
  <c r="W71" i="2"/>
  <c r="W47" i="2" s="1"/>
  <c r="W73" i="2"/>
  <c r="W49" i="2" s="1"/>
  <c r="W75" i="2"/>
  <c r="W51" i="2" s="1"/>
  <c r="W77" i="2"/>
  <c r="W53" i="2" s="1"/>
  <c r="W60" i="2"/>
  <c r="W36" i="2" s="1"/>
  <c r="W64" i="2"/>
  <c r="W40" i="2" s="1"/>
  <c r="W74" i="2"/>
  <c r="W50" i="2" s="1"/>
  <c r="W72" i="2"/>
  <c r="W48" i="2" s="1"/>
  <c r="W76" i="2"/>
  <c r="W52" i="2" s="1"/>
  <c r="W78" i="2"/>
  <c r="W54" i="2" s="1"/>
  <c r="W70" i="2"/>
  <c r="W46" i="2" s="1"/>
  <c r="B27" i="2" l="1"/>
  <c r="B26" i="2"/>
</calcChain>
</file>

<file path=xl/sharedStrings.xml><?xml version="1.0" encoding="utf-8"?>
<sst xmlns="http://schemas.openxmlformats.org/spreadsheetml/2006/main" count="162" uniqueCount="80">
  <si>
    <t>dx</t>
  </si>
  <si>
    <t>m</t>
  </si>
  <si>
    <t>Co</t>
  </si>
  <si>
    <t>ax</t>
  </si>
  <si>
    <t>ay</t>
  </si>
  <si>
    <t>az</t>
  </si>
  <si>
    <t>R</t>
  </si>
  <si>
    <t>m/day</t>
  </si>
  <si>
    <t>v</t>
  </si>
  <si>
    <t>days</t>
  </si>
  <si>
    <t>k</t>
  </si>
  <si>
    <t>d^-1</t>
  </si>
  <si>
    <t>D</t>
  </si>
  <si>
    <t>m^2/day</t>
  </si>
  <si>
    <t>Time</t>
  </si>
  <si>
    <t>years</t>
  </si>
  <si>
    <t>t</t>
  </si>
  <si>
    <t>depth d</t>
  </si>
  <si>
    <t>Z</t>
  </si>
  <si>
    <t>Y</t>
  </si>
  <si>
    <t>dy</t>
  </si>
  <si>
    <t>y</t>
  </si>
  <si>
    <t>x--&gt;</t>
  </si>
  <si>
    <t>erfc</t>
  </si>
  <si>
    <t>exp</t>
  </si>
  <si>
    <t>Total of terms</t>
  </si>
  <si>
    <t>erfy term1</t>
  </si>
  <si>
    <t>erfy term 2</t>
  </si>
  <si>
    <t>erfz term 1</t>
  </si>
  <si>
    <t>erfz term 2</t>
  </si>
  <si>
    <t>Status</t>
  </si>
  <si>
    <t>Parameter</t>
  </si>
  <si>
    <t>Value</t>
  </si>
  <si>
    <t>Units</t>
  </si>
  <si>
    <t>Auto calculated cells  - do not change manually</t>
  </si>
  <si>
    <t>max</t>
  </si>
  <si>
    <t>min</t>
  </si>
  <si>
    <t>Sigma</t>
  </si>
  <si>
    <t>Bin</t>
  </si>
  <si>
    <t>More</t>
  </si>
  <si>
    <t>Frequency</t>
  </si>
  <si>
    <t>Prob</t>
  </si>
  <si>
    <t>Area</t>
  </si>
  <si>
    <t>wt. Mean</t>
  </si>
  <si>
    <t>Norm Probability total</t>
  </si>
  <si>
    <t>dif</t>
  </si>
  <si>
    <t>Wt. Mean</t>
  </si>
  <si>
    <t>Cummul. Prob.</t>
  </si>
  <si>
    <t>Bin Range</t>
  </si>
  <si>
    <t>Simulations Left:</t>
  </si>
  <si>
    <t>Location (x,y):</t>
  </si>
  <si>
    <t>Histogram output:</t>
  </si>
  <si>
    <t>Histogram input:</t>
  </si>
  <si>
    <t>sum</t>
  </si>
  <si>
    <t>Total Area</t>
  </si>
  <si>
    <t>ug/L or mg/m^3</t>
  </si>
  <si>
    <t>Distribution</t>
  </si>
  <si>
    <t>n</t>
  </si>
  <si>
    <t># of Monte Carlo simulations:</t>
  </si>
  <si>
    <t xml:space="preserve"> 1,  1</t>
  </si>
  <si>
    <t xml:space="preserve"> 10,  0</t>
  </si>
  <si>
    <t>v/R</t>
  </si>
  <si>
    <t>k calculator</t>
  </si>
  <si>
    <t>enter t½, read k</t>
  </si>
  <si>
    <t>days , perday</t>
  </si>
  <si>
    <t>x dispersivity</t>
  </si>
  <si>
    <t>y dispersivity</t>
  </si>
  <si>
    <t>z dispersivity</t>
  </si>
  <si>
    <t>Retardation factor</t>
  </si>
  <si>
    <t>Water velocity</t>
  </si>
  <si>
    <t>1st order rate cont.</t>
  </si>
  <si>
    <t>Depth of slice</t>
  </si>
  <si>
    <t>Horizontal width source</t>
  </si>
  <si>
    <t>x grid increment</t>
  </si>
  <si>
    <t>y grid increment</t>
  </si>
  <si>
    <t>Retarded velocity</t>
  </si>
  <si>
    <t>Dispersion coefficient</t>
  </si>
  <si>
    <t>Time in days</t>
  </si>
  <si>
    <t>Vert. thickness source</t>
  </si>
  <si>
    <t>Input concentration</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</si>
</sst>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name val="MS Sans Serif"/>
    </font>
    <font>
      <sz val="10"/>
      <color indexed="22"/>
      <name val="MS Sans Serif"/>
      <family val="2"/>
    </font>
    <font>
      <b/>
      <sz val="10"/>
      <color indexed="13"/>
      <name val="MS Sans Serif"/>
      <family val="2"/>
    </font>
    <font>
      <b/>
      <sz val="10"/>
      <name val="MS Sans Serif"/>
      <family val="2"/>
    </font>
    <font>
      <b/>
      <sz val="12"/>
      <name val="MS Sans Serif"/>
      <family val="2"/>
    </font>
    <font>
      <i/>
      <sz val="10"/>
      <name val="MS Sans Serif"/>
      <family val="2"/>
    </font>
    <font>
      <b/>
      <sz val="10"/>
      <color theme="0"/>
      <name val="MS Sans Serif"/>
      <family val="2"/>
    </font>
  </fonts>
  <fills count="6">
    <fill>
      <patternFill patternType="none"/>
    </fill>
    <fill>
      <patternFill patternType="gray125"/>
    </fill>
    <fill>
      <patternFill patternType="solid">
        <fgColor indexed="10"/>
      </patternFill>
    </fill>
    <fill>
      <patternFill patternType="solid">
        <fgColor indexed="62"/>
        <bgColor indexed="64"/>
      </patternFill>
    </fill>
    <fill>
      <patternFill patternType="solid">
        <fgColor indexed="43"/>
        <bgColor indexed="64"/>
      </patternFill>
    </fill>
    <fill>
      <patternFill patternType="solid">
        <fgColor indexed="13"/>
        <bgColor indexed="64"/>
      </patternFill>
    </fill>
  </fills>
  <borders count="22">
    <border>
      <left/>
      <right/>
      <top/>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double">
        <color indexed="64"/>
      </bottom>
      <diagonal/>
    </border>
    <border>
      <left style="double">
        <color indexed="22"/>
      </left>
      <right style="double">
        <color indexed="64"/>
      </right>
      <top style="double">
        <color indexed="22"/>
      </top>
      <bottom style="double">
        <color indexed="22"/>
      </bottom>
      <diagonal/>
    </border>
    <border>
      <left style="double">
        <color indexed="64"/>
      </left>
      <right style="double">
        <color indexed="64"/>
      </right>
      <top style="double">
        <color indexed="22"/>
      </top>
      <bottom style="double">
        <color indexed="22"/>
      </bottom>
      <diagonal/>
    </border>
    <border>
      <left style="double">
        <color indexed="64"/>
      </left>
      <right/>
      <top style="double">
        <color indexed="22"/>
      </top>
      <bottom style="double">
        <color indexed="22"/>
      </bottom>
      <diagonal/>
    </border>
    <border>
      <left/>
      <right style="double">
        <color indexed="22"/>
      </right>
      <top style="double">
        <color indexed="22"/>
      </top>
      <bottom style="double">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s>
  <cellStyleXfs count="1">
    <xf numFmtId="0" fontId="0" fillId="0" borderId="0"/>
  </cellStyleXfs>
  <cellXfs count="43">
    <xf numFmtId="0" fontId="0" fillId="0" borderId="0" xfId="0"/>
    <xf numFmtId="0" fontId="0" fillId="2" borderId="0" xfId="0" applyFill="1"/>
    <xf numFmtId="1" fontId="0" fillId="0" borderId="0" xfId="0" applyNumberFormat="1"/>
    <xf numFmtId="0" fontId="0" fillId="0" borderId="0" xfId="0" applyNumberFormat="1"/>
    <xf numFmtId="0" fontId="1" fillId="3" borderId="1" xfId="0" applyFont="1" applyFill="1" applyBorder="1"/>
    <xf numFmtId="0" fontId="2" fillId="3" borderId="3" xfId="0" applyFont="1" applyFill="1" applyBorder="1" applyAlignment="1">
      <alignment horizontal="center"/>
    </xf>
    <xf numFmtId="0" fontId="2" fillId="3" borderId="4" xfId="0" applyFont="1" applyFill="1" applyBorder="1" applyAlignment="1">
      <alignment horizontal="center"/>
    </xf>
    <xf numFmtId="2" fontId="0" fillId="0" borderId="0" xfId="0" applyNumberFormat="1"/>
    <xf numFmtId="0" fontId="0" fillId="0" borderId="0" xfId="0" applyFill="1"/>
    <xf numFmtId="0" fontId="2" fillId="3" borderId="5" xfId="0" applyFont="1" applyFill="1" applyBorder="1" applyAlignment="1">
      <alignment horizontal="center"/>
    </xf>
    <xf numFmtId="0" fontId="2" fillId="3" borderId="6" xfId="0" applyFont="1" applyFill="1" applyBorder="1" applyAlignment="1">
      <alignment horizontal="center"/>
    </xf>
    <xf numFmtId="11" fontId="0" fillId="0" borderId="0" xfId="0" applyNumberFormat="1"/>
    <xf numFmtId="0" fontId="3" fillId="4" borderId="7" xfId="0" applyFont="1" applyFill="1" applyBorder="1"/>
    <xf numFmtId="0" fontId="0" fillId="4" borderId="8" xfId="0" applyFill="1" applyBorder="1"/>
    <xf numFmtId="0" fontId="0" fillId="4" borderId="9" xfId="0" applyFill="1" applyBorder="1"/>
    <xf numFmtId="0" fontId="4" fillId="4" borderId="10" xfId="0" applyFont="1" applyFill="1" applyBorder="1"/>
    <xf numFmtId="2" fontId="0" fillId="0" borderId="11" xfId="0" applyNumberFormat="1" applyBorder="1"/>
    <xf numFmtId="2" fontId="0" fillId="0" borderId="0" xfId="0" applyNumberFormat="1" applyBorder="1"/>
    <xf numFmtId="2" fontId="0" fillId="0" borderId="12" xfId="0" applyNumberFormat="1" applyBorder="1"/>
    <xf numFmtId="2" fontId="0" fillId="0" borderId="13" xfId="0" applyNumberFormat="1" applyBorder="1"/>
    <xf numFmtId="2" fontId="3" fillId="0" borderId="0" xfId="0" applyNumberFormat="1" applyFont="1"/>
    <xf numFmtId="0" fontId="0" fillId="0" borderId="0" xfId="0" applyFill="1" applyBorder="1" applyAlignment="1"/>
    <xf numFmtId="0" fontId="0" fillId="0" borderId="14" xfId="0" applyFill="1" applyBorder="1" applyAlignment="1"/>
    <xf numFmtId="10" fontId="0" fillId="0" borderId="0" xfId="0" applyNumberFormat="1"/>
    <xf numFmtId="0" fontId="3" fillId="0" borderId="0" xfId="0" quotePrefix="1" applyFont="1"/>
    <xf numFmtId="2" fontId="3" fillId="5" borderId="16" xfId="0" applyNumberFormat="1" applyFont="1" applyFill="1" applyBorder="1"/>
    <xf numFmtId="11" fontId="0" fillId="0" borderId="0" xfId="0" applyNumberFormat="1" applyFill="1" applyBorder="1" applyAlignment="1"/>
    <xf numFmtId="11" fontId="3" fillId="4" borderId="13" xfId="0" applyNumberFormat="1" applyFont="1" applyFill="1" applyBorder="1" applyAlignment="1">
      <alignment horizontal="center"/>
    </xf>
    <xf numFmtId="11" fontId="3" fillId="4" borderId="17" xfId="0" applyNumberFormat="1" applyFont="1" applyFill="1" applyBorder="1" applyAlignment="1">
      <alignment horizontal="center"/>
    </xf>
    <xf numFmtId="0" fontId="5" fillId="0" borderId="15" xfId="0" applyFont="1" applyFill="1" applyBorder="1" applyAlignment="1">
      <alignment horizontal="center"/>
    </xf>
    <xf numFmtId="0" fontId="0" fillId="0" borderId="0" xfId="0" applyNumberFormat="1" applyFill="1" applyBorder="1" applyAlignment="1"/>
    <xf numFmtId="0" fontId="6" fillId="3" borderId="2" xfId="0" applyFont="1" applyFill="1" applyBorder="1"/>
    <xf numFmtId="0" fontId="6" fillId="3" borderId="1" xfId="0" applyFont="1" applyFill="1" applyBorder="1"/>
    <xf numFmtId="0" fontId="6" fillId="3" borderId="2" xfId="0" applyFont="1" applyFill="1" applyBorder="1" applyAlignment="1">
      <alignment horizontal="center"/>
    </xf>
    <xf numFmtId="0" fontId="6" fillId="3" borderId="1" xfId="0" applyFont="1" applyFill="1" applyBorder="1" applyAlignment="1">
      <alignment horizontal="center"/>
    </xf>
    <xf numFmtId="11" fontId="6" fillId="3" borderId="1" xfId="0" applyNumberFormat="1" applyFont="1" applyFill="1" applyBorder="1"/>
    <xf numFmtId="0" fontId="3" fillId="0" borderId="0" xfId="0" applyFont="1"/>
    <xf numFmtId="0" fontId="6" fillId="3" borderId="19" xfId="0" applyFont="1" applyFill="1" applyBorder="1" applyAlignment="1">
      <alignment horizontal="left"/>
    </xf>
    <xf numFmtId="0" fontId="6" fillId="3" borderId="20" xfId="0" applyFont="1" applyFill="1" applyBorder="1" applyAlignment="1">
      <alignment horizontal="left"/>
    </xf>
    <xf numFmtId="0" fontId="6" fillId="3" borderId="21" xfId="0" applyFont="1" applyFill="1" applyBorder="1" applyAlignment="1">
      <alignment horizontal="left"/>
    </xf>
    <xf numFmtId="0" fontId="0" fillId="4" borderId="18" xfId="0" applyFill="1" applyBorder="1" applyAlignment="1">
      <alignment horizontal="right"/>
    </xf>
    <xf numFmtId="0" fontId="0" fillId="4" borderId="13" xfId="0" applyFill="1" applyBorder="1" applyAlignment="1">
      <alignment horizontal="right"/>
    </xf>
    <xf numFmtId="2" fontId="3" fillId="0" borderId="0" xfId="0" applyNumberFormat="1" applyFont="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view3D>
      <c:rotX val="90"/>
      <c:hPercent val="100"/>
      <c:rotY val="0"/>
      <c:depthPercent val="100"/>
      <c:rAngAx val="0"/>
      <c:perspective val="0"/>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0.1145320197044335"/>
          <c:y val="2.7237379960120493E-2"/>
          <c:w val="0.64408866995073888"/>
          <c:h val="0.79572060026352009"/>
        </c:manualLayout>
      </c:layout>
      <c:surfaceChart>
        <c:wireframe val="0"/>
        <c:ser>
          <c:idx val="2"/>
          <c:order val="0"/>
          <c:tx>
            <c:strRef>
              <c:f>'3Dwt'!$A$34</c:f>
              <c:strCache>
                <c:ptCount val="1"/>
                <c:pt idx="0">
                  <c:v>5</c:v>
                </c:pt>
              </c:strCache>
            </c:strRef>
          </c:tx>
          <c:spPr>
            <a:solidFill>
              <a:srgbClr val="FFFFCC"/>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'3Dwt'!$D$34:$W$34</c:f>
              <c:numCache>
                <c:formatCode>General</c:formatCode>
                <c:ptCount val="20"/>
                <c:pt idx="0">
                  <c:v>6.2858281173618778E-14</c:v>
                </c:pt>
                <c:pt idx="1">
                  <c:v>3.7260749563551719E-7</c:v>
                </c:pt>
                <c:pt idx="2">
                  <c:v>7.1635228030385414E-5</c:v>
                </c:pt>
                <c:pt idx="3">
                  <c:v>1.0017703709697928E-3</c:v>
                </c:pt>
                <c:pt idx="4">
                  <c:v>4.811411293199108E-3</c:v>
                </c:pt>
                <c:pt idx="5">
                  <c:v>1.3322237257576915E-2</c:v>
                </c:pt>
                <c:pt idx="6">
                  <c:v>2.6527820447874041E-2</c:v>
                </c:pt>
                <c:pt idx="7">
                  <c:v>4.2380812513865489E-2</c:v>
                </c:pt>
                <c:pt idx="8">
                  <c:v>5.7668309658984847E-2</c:v>
                </c:pt>
                <c:pt idx="9">
                  <c:v>6.9217259726573319E-2</c:v>
                </c:pt>
                <c:pt idx="10">
                  <c:v>7.4885239848277801E-2</c:v>
                </c:pt>
                <c:pt idx="11">
                  <c:v>7.4051611190644961E-2</c:v>
                </c:pt>
                <c:pt idx="12">
                  <c:v>6.7556044560835762E-2</c:v>
                </c:pt>
                <c:pt idx="13">
                  <c:v>5.7221086746627112E-2</c:v>
                </c:pt>
                <c:pt idx="14">
                  <c:v>4.5202535832137222E-2</c:v>
                </c:pt>
                <c:pt idx="15">
                  <c:v>3.3411244703678074E-2</c:v>
                </c:pt>
                <c:pt idx="16">
                  <c:v>2.3162371528901715E-2</c:v>
                </c:pt>
                <c:pt idx="17">
                  <c:v>1.5087342950808293E-2</c:v>
                </c:pt>
                <c:pt idx="18">
                  <c:v>9.2464913388965592E-3</c:v>
                </c:pt>
                <c:pt idx="19">
                  <c:v>5.337497099828589E-3</c:v>
                </c:pt>
              </c:numCache>
            </c:numRef>
          </c:val>
        </c:ser>
        <c:ser>
          <c:idx val="3"/>
          <c:order val="1"/>
          <c:tx>
            <c:strRef>
              <c:f>'3Dwt'!$A$35</c:f>
              <c:strCache>
                <c:ptCount val="1"/>
                <c:pt idx="0">
                  <c:v>4.5</c:v>
                </c:pt>
              </c:strCache>
            </c:strRef>
          </c:tx>
          <c:spPr>
            <a:solidFill>
              <a:srgbClr val="CCFF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'3Dwt'!$D$35:$W$35</c:f>
              <c:numCache>
                <c:formatCode>General</c:formatCode>
                <c:ptCount val="20"/>
                <c:pt idx="0">
                  <c:v>2.4286567471153464E-10</c:v>
                </c:pt>
                <c:pt idx="1">
                  <c:v>2.4962751828221864E-5</c:v>
                </c:pt>
                <c:pt idx="2">
                  <c:v>1.2353877698424206E-3</c:v>
                </c:pt>
                <c:pt idx="3">
                  <c:v>8.7500607646750599E-3</c:v>
                </c:pt>
                <c:pt idx="4">
                  <c:v>2.7910444794476977E-2</c:v>
                </c:pt>
                <c:pt idx="5">
                  <c:v>5.8779182996025185E-2</c:v>
                </c:pt>
                <c:pt idx="6">
                  <c:v>9.6203350129075493E-2</c:v>
                </c:pt>
                <c:pt idx="7">
                  <c:v>0.13260893397040296</c:v>
                </c:pt>
                <c:pt idx="8">
                  <c:v>0.16080874765608685</c:v>
                </c:pt>
                <c:pt idx="9">
                  <c:v>0.17595162864239031</c:v>
                </c:pt>
                <c:pt idx="10">
                  <c:v>0.17641411801652093</c:v>
                </c:pt>
                <c:pt idx="11">
                  <c:v>0.16367817926843894</c:v>
                </c:pt>
                <c:pt idx="12">
                  <c:v>0.1414365222341451</c:v>
                </c:pt>
                <c:pt idx="13">
                  <c:v>0.11432276766809579</c:v>
                </c:pt>
                <c:pt idx="14">
                  <c:v>8.6698214550473038E-2</c:v>
                </c:pt>
                <c:pt idx="15">
                  <c:v>6.1818477879850411E-2</c:v>
                </c:pt>
                <c:pt idx="16">
                  <c:v>4.1507391466025771E-2</c:v>
                </c:pt>
                <c:pt idx="17">
                  <c:v>2.6273867439348515E-2</c:v>
                </c:pt>
                <c:pt idx="18">
                  <c:v>1.5692185449867772E-2</c:v>
                </c:pt>
                <c:pt idx="19">
                  <c:v>8.8488224214892507E-3</c:v>
                </c:pt>
              </c:numCache>
            </c:numRef>
          </c:val>
        </c:ser>
        <c:ser>
          <c:idx val="4"/>
          <c:order val="2"/>
          <c:tx>
            <c:strRef>
              <c:f>'3Dwt'!$A$36</c:f>
              <c:strCache>
                <c:ptCount val="1"/>
                <c:pt idx="0">
                  <c:v>4</c:v>
                </c:pt>
              </c:strCache>
            </c:strRef>
          </c:tx>
          <c:spPr>
            <a:solidFill>
              <a:srgbClr val="660066"/>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'3Dwt'!$D$36:$W$36</c:f>
              <c:numCache>
                <c:formatCode>General</c:formatCode>
                <c:ptCount val="20"/>
                <c:pt idx="0">
                  <c:v>2.776977834281119E-7</c:v>
                </c:pt>
                <c:pt idx="1">
                  <c:v>9.1578907675779432E-4</c:v>
                </c:pt>
                <c:pt idx="2">
                  <c:v>1.433901520281812E-2</c:v>
                </c:pt>
                <c:pt idx="3">
                  <c:v>5.6994713154892462E-2</c:v>
                </c:pt>
                <c:pt idx="4">
                  <c:v>0.12835468489867641</c:v>
                </c:pt>
                <c:pt idx="5">
                  <c:v>0.21410584273707964</c:v>
                </c:pt>
                <c:pt idx="6">
                  <c:v>0.29643828105509368</c:v>
                </c:pt>
                <c:pt idx="7">
                  <c:v>0.36019437817787908</c:v>
                </c:pt>
                <c:pt idx="8">
                  <c:v>0.39574922183875061</c:v>
                </c:pt>
                <c:pt idx="9">
                  <c:v>0.3999428998560316</c:v>
                </c:pt>
                <c:pt idx="10">
                  <c:v>0.37557973790339255</c:v>
                </c:pt>
                <c:pt idx="11">
                  <c:v>0.32981899929160541</c:v>
                </c:pt>
                <c:pt idx="12">
                  <c:v>0.27193519514470782</c:v>
                </c:pt>
                <c:pt idx="13">
                  <c:v>0.21106243743886507</c:v>
                </c:pt>
                <c:pt idx="14">
                  <c:v>0.15447973026502893</c:v>
                </c:pt>
                <c:pt idx="15">
                  <c:v>0.10674872109324743</c:v>
                </c:pt>
                <c:pt idx="16">
                  <c:v>6.9701287798791936E-2</c:v>
                </c:pt>
                <c:pt idx="17">
                  <c:v>4.3028491133859453E-2</c:v>
                </c:pt>
                <c:pt idx="18">
                  <c:v>2.512389813948392E-2</c:v>
                </c:pt>
                <c:pt idx="19">
                  <c:v>1.387913683787125E-2</c:v>
                </c:pt>
              </c:numCache>
            </c:numRef>
          </c:val>
        </c:ser>
        <c:ser>
          <c:idx val="5"/>
          <c:order val="3"/>
          <c:tx>
            <c:strRef>
              <c:f>'3Dwt'!$A$37</c:f>
              <c:strCache>
                <c:ptCount val="1"/>
                <c:pt idx="0">
                  <c:v>3.5</c:v>
                </c:pt>
              </c:strCache>
            </c:strRef>
          </c:tx>
          <c:spPr>
            <a:solidFill>
              <a:srgbClr val="FF8080"/>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'3Dwt'!$D$37:$W$37</c:f>
              <c:numCache>
                <c:formatCode>General</c:formatCode>
                <c:ptCount val="20"/>
                <c:pt idx="0">
                  <c:v>9.4269210007161876E-5</c:v>
                </c:pt>
                <c:pt idx="1">
                  <c:v>1.8536964032581146E-2</c:v>
                </c:pt>
                <c:pt idx="2">
                  <c:v>0.11271896820204359</c:v>
                </c:pt>
                <c:pt idx="3">
                  <c:v>0.27832984096763586</c:v>
                </c:pt>
                <c:pt idx="4">
                  <c:v>0.4701354253235091</c:v>
                </c:pt>
                <c:pt idx="5">
                  <c:v>0.64649040637343935</c:v>
                </c:pt>
                <c:pt idx="6">
                  <c:v>0.77892416839661738</c:v>
                </c:pt>
                <c:pt idx="7">
                  <c:v>0.85199735850957037</c:v>
                </c:pt>
                <c:pt idx="8">
                  <c:v>0.86194184427534704</c:v>
                </c:pt>
                <c:pt idx="9">
                  <c:v>0.81486709626818354</c:v>
                </c:pt>
                <c:pt idx="10">
                  <c:v>0.72414392501460834</c:v>
                </c:pt>
                <c:pt idx="11">
                  <c:v>0.60700219159103586</c:v>
                </c:pt>
                <c:pt idx="12">
                  <c:v>0.48091702961929778</c:v>
                </c:pt>
                <c:pt idx="13">
                  <c:v>0.36057198973050536</c:v>
                </c:pt>
                <c:pt idx="14">
                  <c:v>0.25601611246405465</c:v>
                </c:pt>
                <c:pt idx="15">
                  <c:v>0.17221721260083767</c:v>
                </c:pt>
                <c:pt idx="16">
                  <c:v>0.10977918383053203</c:v>
                </c:pt>
                <c:pt idx="17">
                  <c:v>6.6320625565463656E-2</c:v>
                </c:pt>
                <c:pt idx="18">
                  <c:v>3.7973726951103653E-2</c:v>
                </c:pt>
                <c:pt idx="19">
                  <c:v>2.0607548296045129E-2</c:v>
                </c:pt>
              </c:numCache>
            </c:numRef>
          </c:val>
        </c:ser>
        <c:ser>
          <c:idx val="6"/>
          <c:order val="4"/>
          <c:tx>
            <c:strRef>
              <c:f>'3Dwt'!$A$38</c:f>
              <c:strCache>
                <c:ptCount val="1"/>
                <c:pt idx="0">
                  <c:v>3</c:v>
                </c:pt>
              </c:strCache>
            </c:strRef>
          </c:tx>
          <c:spPr>
            <a:solidFill>
              <a:srgbClr val="0066CC"/>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'3Dwt'!$D$38:$W$38</c:f>
              <c:numCache>
                <c:formatCode>General</c:formatCode>
                <c:ptCount val="20"/>
                <c:pt idx="0">
                  <c:v>9.6498981855529832E-3</c:v>
                </c:pt>
                <c:pt idx="1">
                  <c:v>0.20943665343012521</c:v>
                </c:pt>
                <c:pt idx="2">
                  <c:v>0.60564718165469456</c:v>
                </c:pt>
                <c:pt idx="3">
                  <c:v>1.0267510760738996</c:v>
                </c:pt>
                <c:pt idx="4">
                  <c:v>1.3802757732791291</c:v>
                </c:pt>
                <c:pt idx="5">
                  <c:v>1.6269984242189894</c:v>
                </c:pt>
                <c:pt idx="6">
                  <c:v>1.7534768592164449</c:v>
                </c:pt>
                <c:pt idx="7">
                  <c:v>1.7620321185244763</c:v>
                </c:pt>
                <c:pt idx="8">
                  <c:v>1.667120843711388</c:v>
                </c:pt>
                <c:pt idx="9">
                  <c:v>1.4925291899091293</c:v>
                </c:pt>
                <c:pt idx="10">
                  <c:v>1.2675770573158307</c:v>
                </c:pt>
                <c:pt idx="11">
                  <c:v>1.0224559264246822</c:v>
                </c:pt>
                <c:pt idx="12">
                  <c:v>0.78369611095948444</c:v>
                </c:pt>
                <c:pt idx="13">
                  <c:v>0.57086209005843513</c:v>
                </c:pt>
                <c:pt idx="14">
                  <c:v>0.39514356722133465</c:v>
                </c:pt>
                <c:pt idx="15">
                  <c:v>0.25985739591294016</c:v>
                </c:pt>
                <c:pt idx="16">
                  <c:v>0.162318945693088</c:v>
                </c:pt>
                <c:pt idx="17">
                  <c:v>9.6283042376863873E-2</c:v>
                </c:pt>
                <c:pt idx="18">
                  <c:v>5.4221521175816148E-2</c:v>
                </c:pt>
                <c:pt idx="19">
                  <c:v>2.8982496203417946E-2</c:v>
                </c:pt>
              </c:numCache>
            </c:numRef>
          </c:val>
        </c:ser>
        <c:ser>
          <c:idx val="7"/>
          <c:order val="5"/>
          <c:tx>
            <c:strRef>
              <c:f>'3Dwt'!$A$39</c:f>
              <c:strCache>
                <c:ptCount val="1"/>
                <c:pt idx="0">
                  <c:v>2.5</c:v>
                </c:pt>
              </c:strCache>
            </c:strRef>
          </c:tx>
          <c:spPr>
            <a:solidFill>
              <a:srgbClr val="CCCC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'3Dwt'!$D$39:$W$39</c:f>
              <c:numCache>
                <c:formatCode>General</c:formatCode>
                <c:ptCount val="20"/>
                <c:pt idx="0">
                  <c:v>0.30622445596482201</c:v>
                </c:pt>
                <c:pt idx="1">
                  <c:v>1.3455428626803576</c:v>
                </c:pt>
                <c:pt idx="2">
                  <c:v>2.2551749719202538</c:v>
                </c:pt>
                <c:pt idx="3">
                  <c:v>2.8924589107375773</c:v>
                </c:pt>
                <c:pt idx="4">
                  <c:v>3.2769686760779932</c:v>
                </c:pt>
                <c:pt idx="5">
                  <c:v>3.437651677357072</c:v>
                </c:pt>
                <c:pt idx="6">
                  <c:v>3.4022165706227594</c:v>
                </c:pt>
                <c:pt idx="7">
                  <c:v>3.2020225601055459</c:v>
                </c:pt>
                <c:pt idx="8">
                  <c:v>2.8752222653606485</c:v>
                </c:pt>
                <c:pt idx="9">
                  <c:v>2.4659142580545965</c:v>
                </c:pt>
                <c:pt idx="10">
                  <c:v>2.020065514343</c:v>
                </c:pt>
                <c:pt idx="11">
                  <c:v>1.5799493926203347</c:v>
                </c:pt>
                <c:pt idx="12">
                  <c:v>1.1790463017329105</c:v>
                </c:pt>
                <c:pt idx="13">
                  <c:v>0.83892191182893672</c:v>
                </c:pt>
                <c:pt idx="14">
                  <c:v>0.5687392949035629</c:v>
                </c:pt>
                <c:pt idx="15">
                  <c:v>0.36713347433775123</c:v>
                </c:pt>
                <c:pt idx="16">
                  <c:v>0.22552665752631249</c:v>
                </c:pt>
                <c:pt idx="17">
                  <c:v>0.13176693142607607</c:v>
                </c:pt>
                <c:pt idx="18">
                  <c:v>7.3189279617833253E-2</c:v>
                </c:pt>
                <c:pt idx="19">
                  <c:v>3.8631629375099355E-2</c:v>
                </c:pt>
              </c:numCache>
            </c:numRef>
          </c:val>
        </c:ser>
        <c:ser>
          <c:idx val="8"/>
          <c:order val="6"/>
          <c:tx>
            <c:strRef>
              <c:f>'3Dwt'!$A$40</c:f>
              <c:strCache>
                <c:ptCount val="1"/>
                <c:pt idx="0">
                  <c:v>2</c:v>
                </c:pt>
              </c:strCache>
            </c:strRef>
          </c:tx>
          <c:spPr>
            <a:solidFill>
              <a:srgbClr val="000080"/>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'3Dwt'!$D$40:$W$40</c:f>
              <c:numCache>
                <c:formatCode>General</c:formatCode>
                <c:ptCount val="20"/>
                <c:pt idx="0">
                  <c:v>3.1777123284495858</c:v>
                </c:pt>
                <c:pt idx="1">
                  <c:v>5.0699735939473252</c:v>
                </c:pt>
                <c:pt idx="2">
                  <c:v>5.9441423149939521</c:v>
                </c:pt>
                <c:pt idx="3">
                  <c:v>6.3214591571297687</c:v>
                </c:pt>
                <c:pt idx="4">
                  <c:v>6.3685893726878362</c:v>
                </c:pt>
                <c:pt idx="5">
                  <c:v>6.1567744692999486</c:v>
                </c:pt>
                <c:pt idx="6">
                  <c:v>5.7328974632075518</c:v>
                </c:pt>
                <c:pt idx="7">
                  <c:v>5.1437374423851665</c:v>
                </c:pt>
                <c:pt idx="8">
                  <c:v>4.4428614958298587</c:v>
                </c:pt>
                <c:pt idx="9">
                  <c:v>3.6889550125601769</c:v>
                </c:pt>
                <c:pt idx="10">
                  <c:v>2.9398169564081269</c:v>
                </c:pt>
                <c:pt idx="11">
                  <c:v>2.2451772154293619</c:v>
                </c:pt>
                <c:pt idx="12">
                  <c:v>1.6409004885461584</c:v>
                </c:pt>
                <c:pt idx="13">
                  <c:v>1.1462159046035025</c:v>
                </c:pt>
                <c:pt idx="14">
                  <c:v>0.76439832576759559</c:v>
                </c:pt>
                <c:pt idx="15">
                  <c:v>0.48620616628285351</c:v>
                </c:pt>
                <c:pt idx="16">
                  <c:v>0.29471545432238577</c:v>
                </c:pt>
                <c:pt idx="17">
                  <c:v>0.17011816666089499</c:v>
                </c:pt>
                <c:pt idx="18">
                  <c:v>9.3452361219386743E-2</c:v>
                </c:pt>
                <c:pt idx="19">
                  <c:v>4.8829801935278354E-2</c:v>
                </c:pt>
              </c:numCache>
            </c:numRef>
          </c:val>
        </c:ser>
        <c:ser>
          <c:idx val="9"/>
          <c:order val="7"/>
          <c:tx>
            <c:strRef>
              <c:f>'3Dwt'!$A$41</c:f>
              <c:strCache>
                <c:ptCount val="1"/>
                <c:pt idx="0">
                  <c:v>1.5</c:v>
                </c:pt>
              </c:strCache>
            </c:strRef>
          </c:tx>
          <c:spPr>
            <a:solidFill>
              <a:srgbClr val="FF00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'3Dwt'!$D$41:$W$41</c:f>
              <c:numCache>
                <c:formatCode>General</c:formatCode>
                <c:ptCount val="20"/>
                <c:pt idx="0">
                  <c:v>12.046320496380938</c:v>
                </c:pt>
                <c:pt idx="1">
                  <c:v>11.809544861919218</c:v>
                </c:pt>
                <c:pt idx="2">
                  <c:v>11.459153917171802</c:v>
                </c:pt>
                <c:pt idx="3">
                  <c:v>10.963976485920513</c:v>
                </c:pt>
                <c:pt idx="4">
                  <c:v>10.299904514028336</c:v>
                </c:pt>
                <c:pt idx="5">
                  <c:v>9.4614435836958091</c:v>
                </c:pt>
                <c:pt idx="6">
                  <c:v>8.4663926457077032</c:v>
                </c:pt>
                <c:pt idx="7">
                  <c:v>7.3547249730684001</c:v>
                </c:pt>
                <c:pt idx="8">
                  <c:v>6.1832575036051409</c:v>
                </c:pt>
                <c:pt idx="9">
                  <c:v>5.0170562253007054</c:v>
                </c:pt>
                <c:pt idx="10">
                  <c:v>3.9192041606045609</c:v>
                </c:pt>
                <c:pt idx="11">
                  <c:v>2.9412579833842196</c:v>
                </c:pt>
                <c:pt idx="12">
                  <c:v>2.1166385534679479</c:v>
                </c:pt>
                <c:pt idx="13">
                  <c:v>1.4582832872919917</c:v>
                </c:pt>
                <c:pt idx="14">
                  <c:v>0.96055085910158033</c:v>
                </c:pt>
                <c:pt idx="15">
                  <c:v>0.6041842127725261</c:v>
                </c:pt>
                <c:pt idx="16">
                  <c:v>0.36253488061727956</c:v>
                </c:pt>
                <c:pt idx="17">
                  <c:v>0.20734103658704567</c:v>
                </c:pt>
                <c:pt idx="18">
                  <c:v>0.11294125820073976</c:v>
                </c:pt>
                <c:pt idx="19">
                  <c:v>5.8556311488603248E-2</c:v>
                </c:pt>
              </c:numCache>
            </c:numRef>
          </c:val>
        </c:ser>
        <c:ser>
          <c:idx val="10"/>
          <c:order val="8"/>
          <c:tx>
            <c:strRef>
              <c:f>'3Dwt'!$A$42</c:f>
              <c:strCache>
                <c:ptCount val="1"/>
                <c:pt idx="0">
                  <c:v>1</c:v>
                </c:pt>
              </c:strCache>
            </c:strRef>
          </c:tx>
          <c:spPr>
            <a:solidFill>
              <a:srgbClr val="FFFF00"/>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'3Dwt'!$D$42:$W$42</c:f>
              <c:numCache>
                <c:formatCode>General</c:formatCode>
                <c:ptCount val="20"/>
                <c:pt idx="0">
                  <c:v>20.914928387100172</c:v>
                </c:pt>
                <c:pt idx="1">
                  <c:v>18.548249893710516</c:v>
                </c:pt>
                <c:pt idx="2">
                  <c:v>16.962225644444338</c:v>
                </c:pt>
                <c:pt idx="3">
                  <c:v>15.5659974445584</c:v>
                </c:pt>
                <c:pt idx="4">
                  <c:v>14.153874095374267</c:v>
                </c:pt>
                <c:pt idx="5">
                  <c:v>12.656238870830418</c:v>
                </c:pt>
                <c:pt idx="6">
                  <c:v>11.069306184459769</c:v>
                </c:pt>
                <c:pt idx="7">
                  <c:v>9.4282816903035513</c:v>
                </c:pt>
                <c:pt idx="8">
                  <c:v>7.7916808186066051</c:v>
                </c:pt>
                <c:pt idx="9">
                  <c:v>6.2275848598426187</c:v>
                </c:pt>
                <c:pt idx="10">
                  <c:v>4.8004792013856745</c:v>
                </c:pt>
                <c:pt idx="11">
                  <c:v>3.5602122659406104</c:v>
                </c:pt>
                <c:pt idx="12">
                  <c:v>2.5350668965878134</c:v>
                </c:pt>
                <c:pt idx="13">
                  <c:v>1.730015228193629</c:v>
                </c:pt>
                <c:pt idx="14">
                  <c:v>1.1297813101372591</c:v>
                </c:pt>
                <c:pt idx="15">
                  <c:v>0.70510927648949429</c:v>
                </c:pt>
                <c:pt idx="16">
                  <c:v>0.42009946298673695</c:v>
                </c:pt>
                <c:pt idx="17">
                  <c:v>0.23870826805033191</c:v>
                </c:pt>
                <c:pt idx="18">
                  <c:v>0.12925503285009154</c:v>
                </c:pt>
                <c:pt idx="19">
                  <c:v>6.6647970831644601E-2</c:v>
                </c:pt>
              </c:numCache>
            </c:numRef>
          </c:val>
        </c:ser>
        <c:ser>
          <c:idx val="11"/>
          <c:order val="9"/>
          <c:tx>
            <c:strRef>
              <c:f>'3Dwt'!$A$43</c:f>
              <c:strCache>
                <c:ptCount val="1"/>
                <c:pt idx="0">
                  <c:v>0.5</c:v>
                </c:pt>
              </c:strCache>
            </c:strRef>
          </c:tx>
          <c:spPr>
            <a:solidFill>
              <a:srgbClr val="00FF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'3Dwt'!$D$43:$W$43</c:f>
              <c:numCache>
                <c:formatCode>General</c:formatCode>
                <c:ptCount val="20"/>
                <c:pt idx="0">
                  <c:v>23.786322268072777</c:v>
                </c:pt>
                <c:pt idx="1">
                  <c:v>22.255059819599079</c:v>
                </c:pt>
                <c:pt idx="2">
                  <c:v>20.552881885118261</c:v>
                </c:pt>
                <c:pt idx="3">
                  <c:v>18.774578894582344</c:v>
                </c:pt>
                <c:pt idx="4">
                  <c:v>16.907864624902274</c:v>
                </c:pt>
                <c:pt idx="5">
                  <c:v>14.953771341267652</c:v>
                </c:pt>
                <c:pt idx="6">
                  <c:v>12.937655680557683</c:v>
                </c:pt>
                <c:pt idx="7">
                  <c:v>10.908371916998201</c:v>
                </c:pt>
                <c:pt idx="8">
                  <c:v>8.9316235383981599</c:v>
                </c:pt>
                <c:pt idx="9">
                  <c:v>7.0790464562273545</c:v>
                </c:pt>
                <c:pt idx="10">
                  <c:v>5.4157011380438771</c:v>
                </c:pt>
                <c:pt idx="11">
                  <c:v>3.9891956735513805</c:v>
                </c:pt>
                <c:pt idx="12">
                  <c:v>2.8231006693055893</c:v>
                </c:pt>
                <c:pt idx="13">
                  <c:v>1.9158805158964067</c:v>
                </c:pt>
                <c:pt idx="14">
                  <c:v>1.2448523598338284</c:v>
                </c:pt>
                <c:pt idx="15">
                  <c:v>0.77335931877548358</c:v>
                </c:pt>
                <c:pt idx="16">
                  <c:v>0.45882967689210946</c:v>
                </c:pt>
                <c:pt idx="17">
                  <c:v>0.25971324883387503</c:v>
                </c:pt>
                <c:pt idx="18">
                  <c:v>0.1401317932714827</c:v>
                </c:pt>
                <c:pt idx="19">
                  <c:v>7.2020963375320726E-2</c:v>
                </c:pt>
              </c:numCache>
            </c:numRef>
          </c:val>
        </c:ser>
        <c:ser>
          <c:idx val="12"/>
          <c:order val="10"/>
          <c:tx>
            <c:strRef>
              <c:f>'3Dwt'!$A$44</c:f>
              <c:strCache>
                <c:ptCount val="1"/>
                <c:pt idx="0">
                  <c:v>0</c:v>
                </c:pt>
              </c:strCache>
            </c:strRef>
          </c:tx>
          <c:spPr>
            <a:solidFill>
              <a:srgbClr val="800080"/>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'3Dwt'!$D$44:$W$44</c:f>
              <c:numCache>
                <c:formatCode>General</c:formatCode>
                <c:ptCount val="20"/>
                <c:pt idx="0">
                  <c:v>24.073341196876502</c:v>
                </c:pt>
                <c:pt idx="1">
                  <c:v>23.200266342455087</c:v>
                </c:pt>
                <c:pt idx="2">
                  <c:v>21.709484102098976</c:v>
                </c:pt>
                <c:pt idx="3">
                  <c:v>19.891940207242985</c:v>
                </c:pt>
                <c:pt idx="4">
                  <c:v>17.894937752442615</c:v>
                </c:pt>
                <c:pt idx="5">
                  <c:v>15.785688212339082</c:v>
                </c:pt>
                <c:pt idx="6">
                  <c:v>13.615796177932781</c:v>
                </c:pt>
                <c:pt idx="7">
                  <c:v>11.445025133630145</c:v>
                </c:pt>
                <c:pt idx="8">
                  <c:v>9.3438796325277131</c:v>
                </c:pt>
                <c:pt idx="9">
                  <c:v>7.3859865021062268</c:v>
                </c:pt>
                <c:pt idx="10">
                  <c:v>5.6367260843220315</c:v>
                </c:pt>
                <c:pt idx="11">
                  <c:v>4.1427922521149121</c:v>
                </c:pt>
                <c:pt idx="12">
                  <c:v>2.9258956921799419</c:v>
                </c:pt>
                <c:pt idx="13">
                  <c:v>1.9820093790895736</c:v>
                </c:pt>
                <c:pt idx="14">
                  <c:v>1.2856755228085597</c:v>
                </c:pt>
                <c:pt idx="15">
                  <c:v>0.79750699694328298</c:v>
                </c:pt>
                <c:pt idx="16">
                  <c:v>0.47249862647894209</c:v>
                </c:pt>
                <c:pt idx="17">
                  <c:v>0.26710924046210271</c:v>
                </c:pt>
                <c:pt idx="18">
                  <c:v>0.14395328704296048</c:v>
                </c:pt>
                <c:pt idx="19">
                  <c:v>7.3904934748181078E-2</c:v>
                </c:pt>
              </c:numCache>
            </c:numRef>
          </c:val>
        </c:ser>
        <c:ser>
          <c:idx val="13"/>
          <c:order val="11"/>
          <c:tx>
            <c:strRef>
              <c:f>'3Dwt'!$A$45</c:f>
              <c:strCache>
                <c:ptCount val="1"/>
                <c:pt idx="0">
                  <c:v>0.5</c:v>
                </c:pt>
              </c:strCache>
            </c:strRef>
          </c:tx>
          <c:spPr>
            <a:solidFill>
              <a:srgbClr val="800000"/>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'3Dwt'!$D$45:$W$45</c:f>
              <c:numCache>
                <c:formatCode>General</c:formatCode>
                <c:ptCount val="20"/>
                <c:pt idx="0">
                  <c:v>23.786322268072777</c:v>
                </c:pt>
                <c:pt idx="1">
                  <c:v>22.255059819599079</c:v>
                </c:pt>
                <c:pt idx="2">
                  <c:v>20.552881885118261</c:v>
                </c:pt>
                <c:pt idx="3">
                  <c:v>18.774578894582344</c:v>
                </c:pt>
                <c:pt idx="4">
                  <c:v>16.907864624902274</c:v>
                </c:pt>
                <c:pt idx="5">
                  <c:v>14.953771341267652</c:v>
                </c:pt>
                <c:pt idx="6">
                  <c:v>12.937655680557683</c:v>
                </c:pt>
                <c:pt idx="7">
                  <c:v>10.908371916998201</c:v>
                </c:pt>
                <c:pt idx="8">
                  <c:v>8.9316235383981599</c:v>
                </c:pt>
                <c:pt idx="9">
                  <c:v>7.0790464562273545</c:v>
                </c:pt>
                <c:pt idx="10">
                  <c:v>5.4157011380438771</c:v>
                </c:pt>
                <c:pt idx="11">
                  <c:v>3.9891956735513805</c:v>
                </c:pt>
                <c:pt idx="12">
                  <c:v>2.8231006693055893</c:v>
                </c:pt>
                <c:pt idx="13">
                  <c:v>1.9158805158964067</c:v>
                </c:pt>
                <c:pt idx="14">
                  <c:v>1.2448523598338284</c:v>
                </c:pt>
                <c:pt idx="15">
                  <c:v>0.77335931877548358</c:v>
                </c:pt>
                <c:pt idx="16">
                  <c:v>0.45882967689210946</c:v>
                </c:pt>
                <c:pt idx="17">
                  <c:v>0.25971324883387503</c:v>
                </c:pt>
                <c:pt idx="18">
                  <c:v>0.1401317932714827</c:v>
                </c:pt>
                <c:pt idx="19">
                  <c:v>7.2020963375320726E-2</c:v>
                </c:pt>
              </c:numCache>
            </c:numRef>
          </c:val>
        </c:ser>
        <c:ser>
          <c:idx val="14"/>
          <c:order val="12"/>
          <c:tx>
            <c:strRef>
              <c:f>'3Dwt'!$A$46</c:f>
              <c:strCache>
                <c:ptCount val="1"/>
                <c:pt idx="0">
                  <c:v>1</c:v>
                </c:pt>
              </c:strCache>
            </c:strRef>
          </c:tx>
          <c:spPr>
            <a:solidFill>
              <a:srgbClr val="008080"/>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'3Dwt'!$D$46:$W$46</c:f>
              <c:numCache>
                <c:formatCode>General</c:formatCode>
                <c:ptCount val="20"/>
                <c:pt idx="0">
                  <c:v>20.914928387100172</c:v>
                </c:pt>
                <c:pt idx="1">
                  <c:v>18.548249893710516</c:v>
                </c:pt>
                <c:pt idx="2">
                  <c:v>16.962225644444338</c:v>
                </c:pt>
                <c:pt idx="3">
                  <c:v>15.5659974445584</c:v>
                </c:pt>
                <c:pt idx="4">
                  <c:v>14.153874095374267</c:v>
                </c:pt>
                <c:pt idx="5">
                  <c:v>12.656238870830418</c:v>
                </c:pt>
                <c:pt idx="6">
                  <c:v>11.069306184459769</c:v>
                </c:pt>
                <c:pt idx="7">
                  <c:v>9.4282816903035513</c:v>
                </c:pt>
                <c:pt idx="8">
                  <c:v>7.7916808186066051</c:v>
                </c:pt>
                <c:pt idx="9">
                  <c:v>6.2275848598426187</c:v>
                </c:pt>
                <c:pt idx="10">
                  <c:v>4.8004792013856745</c:v>
                </c:pt>
                <c:pt idx="11">
                  <c:v>3.5602122659406104</c:v>
                </c:pt>
                <c:pt idx="12">
                  <c:v>2.5350668965878134</c:v>
                </c:pt>
                <c:pt idx="13">
                  <c:v>1.730015228193629</c:v>
                </c:pt>
                <c:pt idx="14">
                  <c:v>1.1297813101372591</c:v>
                </c:pt>
                <c:pt idx="15">
                  <c:v>0.70510927648949429</c:v>
                </c:pt>
                <c:pt idx="16">
                  <c:v>0.42009946298673695</c:v>
                </c:pt>
                <c:pt idx="17">
                  <c:v>0.23870826805033191</c:v>
                </c:pt>
                <c:pt idx="18">
                  <c:v>0.12925503285009154</c:v>
                </c:pt>
                <c:pt idx="19">
                  <c:v>6.6647970831644601E-2</c:v>
                </c:pt>
              </c:numCache>
            </c:numRef>
          </c:val>
        </c:ser>
        <c:ser>
          <c:idx val="15"/>
          <c:order val="13"/>
          <c:tx>
            <c:strRef>
              <c:f>'3Dwt'!$A$47</c:f>
              <c:strCache>
                <c:ptCount val="1"/>
                <c:pt idx="0">
                  <c:v>1.5</c:v>
                </c:pt>
              </c:strCache>
            </c:strRef>
          </c:tx>
          <c:spPr>
            <a:solidFill>
              <a:srgbClr val="0000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'3Dwt'!$D$47:$W$47</c:f>
              <c:numCache>
                <c:formatCode>General</c:formatCode>
                <c:ptCount val="20"/>
                <c:pt idx="0">
                  <c:v>12.046320496380938</c:v>
                </c:pt>
                <c:pt idx="1">
                  <c:v>11.809544861919218</c:v>
                </c:pt>
                <c:pt idx="2">
                  <c:v>11.459153917171802</c:v>
                </c:pt>
                <c:pt idx="3">
                  <c:v>10.963976485920513</c:v>
                </c:pt>
                <c:pt idx="4">
                  <c:v>10.299904514028336</c:v>
                </c:pt>
                <c:pt idx="5">
                  <c:v>9.4614435836958091</c:v>
                </c:pt>
                <c:pt idx="6">
                  <c:v>8.4663926457077032</c:v>
                </c:pt>
                <c:pt idx="7">
                  <c:v>7.3547249730684001</c:v>
                </c:pt>
                <c:pt idx="8">
                  <c:v>6.1832575036051409</c:v>
                </c:pt>
                <c:pt idx="9">
                  <c:v>5.0170562253007054</c:v>
                </c:pt>
                <c:pt idx="10">
                  <c:v>3.9192041606045609</c:v>
                </c:pt>
                <c:pt idx="11">
                  <c:v>2.9412579833842196</c:v>
                </c:pt>
                <c:pt idx="12">
                  <c:v>2.1166385534679479</c:v>
                </c:pt>
                <c:pt idx="13">
                  <c:v>1.4582832872919917</c:v>
                </c:pt>
                <c:pt idx="14">
                  <c:v>0.96055085910158033</c:v>
                </c:pt>
                <c:pt idx="15">
                  <c:v>0.6041842127725261</c:v>
                </c:pt>
                <c:pt idx="16">
                  <c:v>0.36253488061727956</c:v>
                </c:pt>
                <c:pt idx="17">
                  <c:v>0.20734103658704567</c:v>
                </c:pt>
                <c:pt idx="18">
                  <c:v>0.11294125820073976</c:v>
                </c:pt>
                <c:pt idx="19">
                  <c:v>5.8556311488603248E-2</c:v>
                </c:pt>
              </c:numCache>
            </c:numRef>
          </c:val>
        </c:ser>
        <c:ser>
          <c:idx val="16"/>
          <c:order val="14"/>
          <c:tx>
            <c:strRef>
              <c:f>'3Dwt'!$A$48</c:f>
              <c:strCache>
                <c:ptCount val="1"/>
                <c:pt idx="0">
                  <c:v>2</c:v>
                </c:pt>
              </c:strCache>
            </c:strRef>
          </c:tx>
          <c:spPr>
            <a:solidFill>
              <a:srgbClr val="00CC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'3Dwt'!$D$48:$W$48</c:f>
              <c:numCache>
                <c:formatCode>General</c:formatCode>
                <c:ptCount val="20"/>
                <c:pt idx="0">
                  <c:v>3.1777123284495858</c:v>
                </c:pt>
                <c:pt idx="1">
                  <c:v>5.0699735939473252</c:v>
                </c:pt>
                <c:pt idx="2">
                  <c:v>5.9441423149939521</c:v>
                </c:pt>
                <c:pt idx="3">
                  <c:v>6.3214591571297687</c:v>
                </c:pt>
                <c:pt idx="4">
                  <c:v>6.3685893726878362</c:v>
                </c:pt>
                <c:pt idx="5">
                  <c:v>6.1567744692999486</c:v>
                </c:pt>
                <c:pt idx="6">
                  <c:v>5.7328974632075518</c:v>
                </c:pt>
                <c:pt idx="7">
                  <c:v>5.1437374423851665</c:v>
                </c:pt>
                <c:pt idx="8">
                  <c:v>4.4428614958298587</c:v>
                </c:pt>
                <c:pt idx="9">
                  <c:v>3.6889550125601769</c:v>
                </c:pt>
                <c:pt idx="10">
                  <c:v>2.9398169564081269</c:v>
                </c:pt>
                <c:pt idx="11">
                  <c:v>2.2451772154293619</c:v>
                </c:pt>
                <c:pt idx="12">
                  <c:v>1.6409004885461584</c:v>
                </c:pt>
                <c:pt idx="13">
                  <c:v>1.1462159046035025</c:v>
                </c:pt>
                <c:pt idx="14">
                  <c:v>0.76439832576759559</c:v>
                </c:pt>
                <c:pt idx="15">
                  <c:v>0.48620616628285351</c:v>
                </c:pt>
                <c:pt idx="16">
                  <c:v>0.29471545432238577</c:v>
                </c:pt>
                <c:pt idx="17">
                  <c:v>0.17011816666089499</c:v>
                </c:pt>
                <c:pt idx="18">
                  <c:v>9.3452361219386743E-2</c:v>
                </c:pt>
                <c:pt idx="19">
                  <c:v>4.8829801935278354E-2</c:v>
                </c:pt>
              </c:numCache>
            </c:numRef>
          </c:val>
        </c:ser>
        <c:ser>
          <c:idx val="17"/>
          <c:order val="15"/>
          <c:tx>
            <c:strRef>
              <c:f>'3Dwt'!$A$49</c:f>
              <c:strCache>
                <c:ptCount val="1"/>
                <c:pt idx="0">
                  <c:v>2.5</c:v>
                </c:pt>
              </c:strCache>
            </c:strRef>
          </c:tx>
          <c:spPr>
            <a:solidFill>
              <a:srgbClr val="CCFF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'3Dwt'!$D$49:$W$49</c:f>
              <c:numCache>
                <c:formatCode>General</c:formatCode>
                <c:ptCount val="20"/>
                <c:pt idx="0">
                  <c:v>0.30622445596482201</c:v>
                </c:pt>
                <c:pt idx="1">
                  <c:v>1.3455428626803576</c:v>
                </c:pt>
                <c:pt idx="2">
                  <c:v>2.2551749719202538</c:v>
                </c:pt>
                <c:pt idx="3">
                  <c:v>2.8924589107375773</c:v>
                </c:pt>
                <c:pt idx="4">
                  <c:v>3.2769686760779932</c:v>
                </c:pt>
                <c:pt idx="5">
                  <c:v>3.437651677357072</c:v>
                </c:pt>
                <c:pt idx="6">
                  <c:v>3.4022165706227594</c:v>
                </c:pt>
                <c:pt idx="7">
                  <c:v>3.2020225601055459</c:v>
                </c:pt>
                <c:pt idx="8">
                  <c:v>2.8752222653606485</c:v>
                </c:pt>
                <c:pt idx="9">
                  <c:v>2.4659142580545965</c:v>
                </c:pt>
                <c:pt idx="10">
                  <c:v>2.020065514343</c:v>
                </c:pt>
                <c:pt idx="11">
                  <c:v>1.5799493926203347</c:v>
                </c:pt>
                <c:pt idx="12">
                  <c:v>1.1790463017329105</c:v>
                </c:pt>
                <c:pt idx="13">
                  <c:v>0.83892191182893672</c:v>
                </c:pt>
                <c:pt idx="14">
                  <c:v>0.5687392949035629</c:v>
                </c:pt>
                <c:pt idx="15">
                  <c:v>0.36713347433775123</c:v>
                </c:pt>
                <c:pt idx="16">
                  <c:v>0.22552665752631249</c:v>
                </c:pt>
                <c:pt idx="17">
                  <c:v>0.13176693142607607</c:v>
                </c:pt>
                <c:pt idx="18">
                  <c:v>7.3189279617833253E-2</c:v>
                </c:pt>
                <c:pt idx="19">
                  <c:v>3.8631629375099355E-2</c:v>
                </c:pt>
              </c:numCache>
            </c:numRef>
          </c:val>
        </c:ser>
        <c:ser>
          <c:idx val="18"/>
          <c:order val="16"/>
          <c:tx>
            <c:strRef>
              <c:f>'3Dwt'!$A$50</c:f>
              <c:strCache>
                <c:ptCount val="1"/>
                <c:pt idx="0">
                  <c:v>3</c:v>
                </c:pt>
              </c:strCache>
            </c:strRef>
          </c:tx>
          <c:spPr>
            <a:solidFill>
              <a:srgbClr val="CCFFCC"/>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'3Dwt'!$D$50:$W$50</c:f>
              <c:numCache>
                <c:formatCode>General</c:formatCode>
                <c:ptCount val="20"/>
                <c:pt idx="0">
                  <c:v>9.6498981855529832E-3</c:v>
                </c:pt>
                <c:pt idx="1">
                  <c:v>0.20943665343012521</c:v>
                </c:pt>
                <c:pt idx="2">
                  <c:v>0.60564718165469456</c:v>
                </c:pt>
                <c:pt idx="3">
                  <c:v>1.0267510760738996</c:v>
                </c:pt>
                <c:pt idx="4">
                  <c:v>1.3802757732791291</c:v>
                </c:pt>
                <c:pt idx="5">
                  <c:v>1.6269984242189894</c:v>
                </c:pt>
                <c:pt idx="6">
                  <c:v>1.7534768592164449</c:v>
                </c:pt>
                <c:pt idx="7">
                  <c:v>1.7620321185244763</c:v>
                </c:pt>
                <c:pt idx="8">
                  <c:v>1.667120843711388</c:v>
                </c:pt>
                <c:pt idx="9">
                  <c:v>1.4925291899091293</c:v>
                </c:pt>
                <c:pt idx="10">
                  <c:v>1.2675770573158307</c:v>
                </c:pt>
                <c:pt idx="11">
                  <c:v>1.0224559264246822</c:v>
                </c:pt>
                <c:pt idx="12">
                  <c:v>0.78369611095948444</c:v>
                </c:pt>
                <c:pt idx="13">
                  <c:v>0.57086209005843513</c:v>
                </c:pt>
                <c:pt idx="14">
                  <c:v>0.39514356722133465</c:v>
                </c:pt>
                <c:pt idx="15">
                  <c:v>0.25985739591294016</c:v>
                </c:pt>
                <c:pt idx="16">
                  <c:v>0.162318945693088</c:v>
                </c:pt>
                <c:pt idx="17">
                  <c:v>9.6283042376863873E-2</c:v>
                </c:pt>
                <c:pt idx="18">
                  <c:v>5.4221521175816148E-2</c:v>
                </c:pt>
                <c:pt idx="19">
                  <c:v>2.8982496203417946E-2</c:v>
                </c:pt>
              </c:numCache>
            </c:numRef>
          </c:val>
        </c:ser>
        <c:ser>
          <c:idx val="19"/>
          <c:order val="17"/>
          <c:tx>
            <c:strRef>
              <c:f>'3Dwt'!$A$51</c:f>
              <c:strCache>
                <c:ptCount val="1"/>
                <c:pt idx="0">
                  <c:v>3.5</c:v>
                </c:pt>
              </c:strCache>
            </c:strRef>
          </c:tx>
          <c:spPr>
            <a:solidFill>
              <a:srgbClr val="FFFF99"/>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'3Dwt'!$D$51:$W$51</c:f>
              <c:numCache>
                <c:formatCode>General</c:formatCode>
                <c:ptCount val="20"/>
                <c:pt idx="0">
                  <c:v>9.4269210007161876E-5</c:v>
                </c:pt>
                <c:pt idx="1">
                  <c:v>1.8536964032581146E-2</c:v>
                </c:pt>
                <c:pt idx="2">
                  <c:v>0.11271896820204359</c:v>
                </c:pt>
                <c:pt idx="3">
                  <c:v>0.27832984096763586</c:v>
                </c:pt>
                <c:pt idx="4">
                  <c:v>0.4701354253235091</c:v>
                </c:pt>
                <c:pt idx="5">
                  <c:v>0.64649040637343935</c:v>
                </c:pt>
                <c:pt idx="6">
                  <c:v>0.77892416839661738</c:v>
                </c:pt>
                <c:pt idx="7">
                  <c:v>0.85199735850957037</c:v>
                </c:pt>
                <c:pt idx="8">
                  <c:v>0.86194184427534704</c:v>
                </c:pt>
                <c:pt idx="9">
                  <c:v>0.81486709626818354</c:v>
                </c:pt>
                <c:pt idx="10">
                  <c:v>0.72414392501460834</c:v>
                </c:pt>
                <c:pt idx="11">
                  <c:v>0.60700219159103586</c:v>
                </c:pt>
                <c:pt idx="12">
                  <c:v>0.48091702961929778</c:v>
                </c:pt>
                <c:pt idx="13">
                  <c:v>0.36057198973050536</c:v>
                </c:pt>
                <c:pt idx="14">
                  <c:v>0.25601611246405465</c:v>
                </c:pt>
                <c:pt idx="15">
                  <c:v>0.17221721260083767</c:v>
                </c:pt>
                <c:pt idx="16">
                  <c:v>0.10977918383053203</c:v>
                </c:pt>
                <c:pt idx="17">
                  <c:v>6.6320625565463656E-2</c:v>
                </c:pt>
                <c:pt idx="18">
                  <c:v>3.7973726951103653E-2</c:v>
                </c:pt>
                <c:pt idx="19">
                  <c:v>2.0607548296045129E-2</c:v>
                </c:pt>
              </c:numCache>
            </c:numRef>
          </c:val>
        </c:ser>
        <c:ser>
          <c:idx val="20"/>
          <c:order val="18"/>
          <c:tx>
            <c:strRef>
              <c:f>'3Dwt'!$A$52</c:f>
              <c:strCache>
                <c:ptCount val="1"/>
                <c:pt idx="0">
                  <c:v>4</c:v>
                </c:pt>
              </c:strCache>
            </c:strRef>
          </c:tx>
          <c:spPr>
            <a:solidFill>
              <a:srgbClr val="99CC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'3Dwt'!$D$52:$W$52</c:f>
              <c:numCache>
                <c:formatCode>General</c:formatCode>
                <c:ptCount val="20"/>
                <c:pt idx="0">
                  <c:v>2.776977834281119E-7</c:v>
                </c:pt>
                <c:pt idx="1">
                  <c:v>9.1578907675779432E-4</c:v>
                </c:pt>
                <c:pt idx="2">
                  <c:v>1.433901520281812E-2</c:v>
                </c:pt>
                <c:pt idx="3">
                  <c:v>5.6994713154892462E-2</c:v>
                </c:pt>
                <c:pt idx="4">
                  <c:v>0.12835468489867641</c:v>
                </c:pt>
                <c:pt idx="5">
                  <c:v>0.21410584273707964</c:v>
                </c:pt>
                <c:pt idx="6">
                  <c:v>0.29643828105509368</c:v>
                </c:pt>
                <c:pt idx="7">
                  <c:v>0.36019437817787908</c:v>
                </c:pt>
                <c:pt idx="8">
                  <c:v>0.39574922183875061</c:v>
                </c:pt>
                <c:pt idx="9">
                  <c:v>0.3999428998560316</c:v>
                </c:pt>
                <c:pt idx="10">
                  <c:v>0.37557973790339255</c:v>
                </c:pt>
                <c:pt idx="11">
                  <c:v>0.32981899929160541</c:v>
                </c:pt>
                <c:pt idx="12">
                  <c:v>0.27193519514470782</c:v>
                </c:pt>
                <c:pt idx="13">
                  <c:v>0.21106243743886507</c:v>
                </c:pt>
                <c:pt idx="14">
                  <c:v>0.15447973026502893</c:v>
                </c:pt>
                <c:pt idx="15">
                  <c:v>0.10674872109324743</c:v>
                </c:pt>
                <c:pt idx="16">
                  <c:v>6.9701287798791936E-2</c:v>
                </c:pt>
                <c:pt idx="17">
                  <c:v>4.3028491133859453E-2</c:v>
                </c:pt>
                <c:pt idx="18">
                  <c:v>2.512389813948392E-2</c:v>
                </c:pt>
                <c:pt idx="19">
                  <c:v>1.387913683787125E-2</c:v>
                </c:pt>
              </c:numCache>
            </c:numRef>
          </c:val>
        </c:ser>
        <c:ser>
          <c:idx val="21"/>
          <c:order val="19"/>
          <c:tx>
            <c:strRef>
              <c:f>'3Dwt'!$A$53</c:f>
              <c:strCache>
                <c:ptCount val="1"/>
                <c:pt idx="0">
                  <c:v>4.5</c:v>
                </c:pt>
              </c:strCache>
            </c:strRef>
          </c:tx>
          <c:spPr>
            <a:solidFill>
              <a:srgbClr val="FF99CC"/>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'3Dwt'!$D$53:$W$53</c:f>
              <c:numCache>
                <c:formatCode>General</c:formatCode>
                <c:ptCount val="20"/>
                <c:pt idx="0">
                  <c:v>2.4286567471153464E-10</c:v>
                </c:pt>
                <c:pt idx="1">
                  <c:v>2.4962751828221864E-5</c:v>
                </c:pt>
                <c:pt idx="2">
                  <c:v>1.2353877698424206E-3</c:v>
                </c:pt>
                <c:pt idx="3">
                  <c:v>8.7500607646750599E-3</c:v>
                </c:pt>
                <c:pt idx="4">
                  <c:v>2.7910444794476977E-2</c:v>
                </c:pt>
                <c:pt idx="5">
                  <c:v>5.8779182996025185E-2</c:v>
                </c:pt>
                <c:pt idx="6">
                  <c:v>9.6203350129075493E-2</c:v>
                </c:pt>
                <c:pt idx="7">
                  <c:v>0.13260893397040296</c:v>
                </c:pt>
                <c:pt idx="8">
                  <c:v>0.16080874765608685</c:v>
                </c:pt>
                <c:pt idx="9">
                  <c:v>0.17595162864239031</c:v>
                </c:pt>
                <c:pt idx="10">
                  <c:v>0.17641411801652093</c:v>
                </c:pt>
                <c:pt idx="11">
                  <c:v>0.16367817926843894</c:v>
                </c:pt>
                <c:pt idx="12">
                  <c:v>0.1414365222341451</c:v>
                </c:pt>
                <c:pt idx="13">
                  <c:v>0.11432276766809579</c:v>
                </c:pt>
                <c:pt idx="14">
                  <c:v>8.6698214550473038E-2</c:v>
                </c:pt>
                <c:pt idx="15">
                  <c:v>6.1818477879850411E-2</c:v>
                </c:pt>
                <c:pt idx="16">
                  <c:v>4.1507391466025771E-2</c:v>
                </c:pt>
                <c:pt idx="17">
                  <c:v>2.6273867439348515E-2</c:v>
                </c:pt>
                <c:pt idx="18">
                  <c:v>1.5692185449867772E-2</c:v>
                </c:pt>
                <c:pt idx="19">
                  <c:v>8.8488224214892507E-3</c:v>
                </c:pt>
              </c:numCache>
            </c:numRef>
          </c:val>
        </c:ser>
        <c:ser>
          <c:idx val="22"/>
          <c:order val="20"/>
          <c:tx>
            <c:strRef>
              <c:f>'3Dwt'!$A$54</c:f>
              <c:strCache>
                <c:ptCount val="1"/>
                <c:pt idx="0">
                  <c:v>5</c:v>
                </c:pt>
              </c:strCache>
            </c:strRef>
          </c:tx>
          <c:spPr>
            <a:solidFill>
              <a:srgbClr val="CC99FF"/>
            </a:solidFill>
            <a:ln w="12700">
              <a:solidFill>
                <a:srgbClr val="000000"/>
              </a:solidFill>
              <a:prstDash val="solid"/>
            </a:ln>
            <a:sp3d prstMaterial="flat"/>
          </c:spPr>
          <c:cat>
            <c:numRef>
              <c:f>'3Dwt'!$D$33:$W$33</c:f>
              <c:numCache>
                <c:formatCode>General</c:formatCode>
                <c:ptCount val="20"/>
                <c:pt idx="0">
                  <c:v>1.0009999999999999</c:v>
                </c:pt>
                <c:pt idx="1">
                  <c:v>2.0009999999999999</c:v>
                </c:pt>
                <c:pt idx="2">
                  <c:v>3.0009999999999999</c:v>
                </c:pt>
                <c:pt idx="3">
                  <c:v>4.0009999999999994</c:v>
                </c:pt>
                <c:pt idx="4">
                  <c:v>5.0009999999999994</c:v>
                </c:pt>
                <c:pt idx="5">
                  <c:v>6.0009999999999994</c:v>
                </c:pt>
                <c:pt idx="6">
                  <c:v>7.0009999999999994</c:v>
                </c:pt>
                <c:pt idx="7">
                  <c:v>8.0009999999999994</c:v>
                </c:pt>
                <c:pt idx="8">
                  <c:v>9.0009999999999994</c:v>
                </c:pt>
                <c:pt idx="9">
                  <c:v>10.000999999999999</c:v>
                </c:pt>
                <c:pt idx="10">
                  <c:v>11.000999999999999</c:v>
                </c:pt>
                <c:pt idx="11">
                  <c:v>12.000999999999999</c:v>
                </c:pt>
                <c:pt idx="12">
                  <c:v>13.000999999999999</c:v>
                </c:pt>
                <c:pt idx="13">
                  <c:v>14.000999999999999</c:v>
                </c:pt>
                <c:pt idx="14">
                  <c:v>15.000999999999999</c:v>
                </c:pt>
                <c:pt idx="15">
                  <c:v>16.000999999999998</c:v>
                </c:pt>
                <c:pt idx="16">
                  <c:v>17.000999999999998</c:v>
                </c:pt>
                <c:pt idx="17">
                  <c:v>18.000999999999998</c:v>
                </c:pt>
                <c:pt idx="18">
                  <c:v>19.000999999999998</c:v>
                </c:pt>
                <c:pt idx="19">
                  <c:v>20.000999999999998</c:v>
                </c:pt>
              </c:numCache>
            </c:numRef>
          </c:cat>
          <c:val>
            <c:numRef>
              <c:f>'3Dwt'!$D$54:$W$54</c:f>
              <c:numCache>
                <c:formatCode>General</c:formatCode>
                <c:ptCount val="20"/>
                <c:pt idx="0">
                  <c:v>6.2858281173618778E-14</c:v>
                </c:pt>
                <c:pt idx="1">
                  <c:v>3.7260749563551719E-7</c:v>
                </c:pt>
                <c:pt idx="2">
                  <c:v>7.1635228030385414E-5</c:v>
                </c:pt>
                <c:pt idx="3">
                  <c:v>1.0017703709697928E-3</c:v>
                </c:pt>
                <c:pt idx="4">
                  <c:v>4.811411293199108E-3</c:v>
                </c:pt>
                <c:pt idx="5">
                  <c:v>1.3322237257576915E-2</c:v>
                </c:pt>
                <c:pt idx="6">
                  <c:v>2.6527820447874041E-2</c:v>
                </c:pt>
                <c:pt idx="7">
                  <c:v>4.2380812513865489E-2</c:v>
                </c:pt>
                <c:pt idx="8">
                  <c:v>5.7668309658984847E-2</c:v>
                </c:pt>
                <c:pt idx="9">
                  <c:v>6.9217259726573319E-2</c:v>
                </c:pt>
                <c:pt idx="10">
                  <c:v>7.4885239848277801E-2</c:v>
                </c:pt>
                <c:pt idx="11">
                  <c:v>7.4051611190644961E-2</c:v>
                </c:pt>
                <c:pt idx="12">
                  <c:v>6.7556044560835762E-2</c:v>
                </c:pt>
                <c:pt idx="13">
                  <c:v>5.7221086746627112E-2</c:v>
                </c:pt>
                <c:pt idx="14">
                  <c:v>4.5202535832137222E-2</c:v>
                </c:pt>
                <c:pt idx="15">
                  <c:v>3.3411244703678074E-2</c:v>
                </c:pt>
                <c:pt idx="16">
                  <c:v>2.3162371528901715E-2</c:v>
                </c:pt>
                <c:pt idx="17">
                  <c:v>1.5087342950808293E-2</c:v>
                </c:pt>
                <c:pt idx="18">
                  <c:v>9.2464913388965592E-3</c:v>
                </c:pt>
                <c:pt idx="19">
                  <c:v>5.337497099828589E-3</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s>
        <c:axId val="44261760"/>
        <c:axId val="44263680"/>
        <c:axId val="44258176"/>
      </c:surfaceChart>
      <c:catAx>
        <c:axId val="44261760"/>
        <c:scaling>
          <c:orientation val="minMax"/>
        </c:scaling>
        <c:delete val="0"/>
        <c:axPos val="b"/>
        <c:title>
          <c:tx>
            <c:rich>
              <a:bodyPr/>
              <a:lstStyle/>
              <a:p>
                <a:pPr>
                  <a:defRPr sz="1825" b="1" i="0" u="none" strike="noStrike" baseline="0">
                    <a:solidFill>
                      <a:srgbClr val="000000"/>
                    </a:solidFill>
                    <a:latin typeface="Arial"/>
                    <a:ea typeface="Arial"/>
                    <a:cs typeface="Arial"/>
                  </a:defRPr>
                </a:pPr>
                <a:r>
                  <a:rPr lang="en-US"/>
                  <a:t>Title</a:t>
                </a:r>
              </a:p>
            </c:rich>
          </c:tx>
          <c:layout>
            <c:manualLayout>
              <c:xMode val="edge"/>
              <c:yMode val="edge"/>
              <c:x val="0.25492610837438423"/>
              <c:y val="0.89299695726395045"/>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5400000" vert="horz"/>
          <a:lstStyle/>
          <a:p>
            <a:pPr>
              <a:defRPr sz="1825" b="0" i="0" u="none" strike="noStrike" baseline="0">
                <a:solidFill>
                  <a:srgbClr val="000000"/>
                </a:solidFill>
                <a:latin typeface="Arial"/>
                <a:ea typeface="Arial"/>
                <a:cs typeface="Arial"/>
              </a:defRPr>
            </a:pPr>
            <a:endParaRPr lang="en-US"/>
          </a:p>
        </c:txPr>
        <c:crossAx val="44263680"/>
        <c:crosses val="autoZero"/>
        <c:auto val="1"/>
        <c:lblAlgn val="ctr"/>
        <c:lblOffset val="100"/>
        <c:tickLblSkip val="3"/>
        <c:tickMarkSkip val="1"/>
        <c:noMultiLvlLbl val="1"/>
      </c:catAx>
      <c:valAx>
        <c:axId val="44263680"/>
        <c:scaling>
          <c:orientation val="minMax"/>
        </c:scaling>
        <c:delete val="0"/>
        <c:axPos val="l"/>
        <c:majorGridlines>
          <c:spPr>
            <a:ln w="3175">
              <a:solidFill>
                <a:srgbClr val="000000"/>
              </a:solidFill>
              <a:prstDash val="solid"/>
            </a:ln>
          </c:spPr>
        </c:majorGridlines>
        <c:numFmt formatCode="General" sourceLinked="1"/>
        <c:majorTickMark val="none"/>
        <c:minorTickMark val="none"/>
        <c:tickLblPos val="none"/>
        <c:spPr>
          <a:ln w="3175">
            <a:solidFill>
              <a:srgbClr val="000000"/>
            </a:solidFill>
            <a:prstDash val="solid"/>
          </a:ln>
        </c:spPr>
        <c:crossAx val="44261760"/>
        <c:crosses val="autoZero"/>
        <c:crossBetween val="midCat"/>
      </c:valAx>
      <c:serAx>
        <c:axId val="44258176"/>
        <c:scaling>
          <c:orientation val="maxMin"/>
        </c:scaling>
        <c:delete val="0"/>
        <c:axPos val="b"/>
        <c:title>
          <c:tx>
            <c:rich>
              <a:bodyPr/>
              <a:lstStyle/>
              <a:p>
                <a:pPr>
                  <a:defRPr sz="1700" b="1" i="0" u="none" strike="noStrike" baseline="0">
                    <a:solidFill>
                      <a:srgbClr val="000000"/>
                    </a:solidFill>
                    <a:latin typeface="Arial"/>
                    <a:ea typeface="Arial"/>
                    <a:cs typeface="Arial"/>
                  </a:defRPr>
                </a:pPr>
                <a:r>
                  <a:rPr lang="en-US"/>
                  <a:t>Title</a:t>
                </a:r>
              </a:p>
            </c:rich>
          </c:tx>
          <c:layout>
            <c:manualLayout>
              <c:xMode val="edge"/>
              <c:yMode val="edge"/>
              <c:x val="0.81527093596059108"/>
              <c:y val="0.33463066808148034"/>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825" b="0" i="0" u="none" strike="noStrike" baseline="0">
                <a:solidFill>
                  <a:srgbClr val="000000"/>
                </a:solidFill>
                <a:latin typeface="Arial"/>
                <a:ea typeface="Arial"/>
                <a:cs typeface="Arial"/>
              </a:defRPr>
            </a:pPr>
            <a:endParaRPr lang="en-US"/>
          </a:p>
        </c:txPr>
        <c:crossAx val="44263680"/>
        <c:crosses val="autoZero"/>
        <c:tickLblSkip val="2"/>
        <c:tickMarkSkip val="1"/>
      </c:serAx>
      <c:spPr>
        <a:noFill/>
        <a:ln w="25400">
          <a:noFill/>
        </a:ln>
      </c:spPr>
    </c:plotArea>
    <c:legend>
      <c:legendPos val="r"/>
      <c:legendEntry>
        <c:idx val="0"/>
        <c:txPr>
          <a:bodyPr/>
          <a:lstStyle/>
          <a:p>
            <a:pPr rtl="0">
              <a:defRPr sz="1560" b="0" i="0" u="none" strike="noStrike" baseline="0">
                <a:solidFill>
                  <a:srgbClr val="000000"/>
                </a:solidFill>
                <a:latin typeface="Arial"/>
                <a:ea typeface="Arial"/>
                <a:cs typeface="Arial"/>
              </a:defRPr>
            </a:pPr>
            <a:endParaRPr lang="en-US"/>
          </a:p>
        </c:txPr>
      </c:legendEntry>
      <c:legendEntry>
        <c:idx val="1"/>
        <c:txPr>
          <a:bodyPr/>
          <a:lstStyle/>
          <a:p>
            <a:pPr rtl="0">
              <a:defRPr sz="1560" b="0" i="0" u="none" strike="noStrike" baseline="0">
                <a:solidFill>
                  <a:srgbClr val="000000"/>
                </a:solidFill>
                <a:latin typeface="Arial"/>
                <a:ea typeface="Arial"/>
                <a:cs typeface="Arial"/>
              </a:defRPr>
            </a:pPr>
            <a:endParaRPr lang="en-US"/>
          </a:p>
        </c:txPr>
      </c:legendEntry>
      <c:legendEntry>
        <c:idx val="2"/>
        <c:txPr>
          <a:bodyPr/>
          <a:lstStyle/>
          <a:p>
            <a:pPr rtl="0">
              <a:defRPr sz="1560" b="0" i="0" u="none" strike="noStrike" baseline="0">
                <a:solidFill>
                  <a:srgbClr val="000000"/>
                </a:solidFill>
                <a:latin typeface="Arial"/>
                <a:ea typeface="Arial"/>
                <a:cs typeface="Arial"/>
              </a:defRPr>
            </a:pPr>
            <a:endParaRPr lang="en-US"/>
          </a:p>
        </c:txPr>
      </c:legendEntry>
      <c:legendEntry>
        <c:idx val="3"/>
        <c:txPr>
          <a:bodyPr/>
          <a:lstStyle/>
          <a:p>
            <a:pPr rtl="0">
              <a:defRPr sz="1560" b="0" i="0" u="none" strike="noStrike" baseline="0">
                <a:solidFill>
                  <a:srgbClr val="000000"/>
                </a:solidFill>
                <a:latin typeface="Arial"/>
                <a:ea typeface="Arial"/>
                <a:cs typeface="Arial"/>
              </a:defRPr>
            </a:pPr>
            <a:endParaRPr lang="en-US"/>
          </a:p>
        </c:txPr>
      </c:legendEntry>
      <c:legendEntry>
        <c:idx val="4"/>
        <c:txPr>
          <a:bodyPr/>
          <a:lstStyle/>
          <a:p>
            <a:pPr rtl="0">
              <a:defRPr sz="1560" b="0" i="0" u="none" strike="noStrike" baseline="0">
                <a:solidFill>
                  <a:srgbClr val="000000"/>
                </a:solidFill>
                <a:latin typeface="Arial"/>
                <a:ea typeface="Arial"/>
                <a:cs typeface="Arial"/>
              </a:defRPr>
            </a:pPr>
            <a:endParaRPr lang="en-US"/>
          </a:p>
        </c:txPr>
      </c:legendEntry>
      <c:layout>
        <c:manualLayout>
          <c:xMode val="edge"/>
          <c:yMode val="edge"/>
          <c:x val="0.84852216748768472"/>
          <c:y val="0.49027283928216886"/>
          <c:w val="0.11576354679802955"/>
          <c:h val="0.31322986954138565"/>
        </c:manualLayout>
      </c:layout>
      <c:overlay val="0"/>
      <c:spPr>
        <a:solidFill>
          <a:srgbClr val="FFFFFF"/>
        </a:solidFill>
        <a:ln w="3175">
          <a:solidFill>
            <a:srgbClr val="000000"/>
          </a:solidFill>
          <a:prstDash val="solid"/>
        </a:ln>
      </c:spPr>
      <c:txPr>
        <a:bodyPr/>
        <a:lstStyle/>
        <a:p>
          <a:pPr rtl="0">
            <a:defRPr sz="156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700" b="0" i="0" u="none" strike="noStrike" baseline="0">
          <a:solidFill>
            <a:srgbClr val="000000"/>
          </a:solidFill>
          <a:latin typeface="Arial"/>
          <a:ea typeface="Arial"/>
          <a:cs typeface="Arial"/>
        </a:defRPr>
      </a:pPr>
      <a:endParaRPr lang="en-US"/>
    </a:p>
  </c:txPr>
  <c:printSettings>
    <c:headerFooter/>
    <c:pageMargins b="0.75" l="0.7" r="0.7" t="0.75" header="0.3" footer="0.3"/>
    <c:pageSetup orientation="landscape" horizontalDpi="-4"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144597308684711"/>
          <c:y val="0.1535272820103451"/>
          <c:w val="0.78072381015132031"/>
          <c:h val="0.58921281203970277"/>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'3Dwt'!$C$33:$W$33</c:f>
              <c:numCache>
                <c:formatCode>General</c:formatCode>
                <c:ptCount val="21"/>
                <c:pt idx="0">
                  <c:v>1E-3</c:v>
                </c:pt>
                <c:pt idx="1">
                  <c:v>1.0009999999999999</c:v>
                </c:pt>
                <c:pt idx="2">
                  <c:v>2.0009999999999999</c:v>
                </c:pt>
                <c:pt idx="3">
                  <c:v>3.0009999999999999</c:v>
                </c:pt>
                <c:pt idx="4">
                  <c:v>4.0009999999999994</c:v>
                </c:pt>
                <c:pt idx="5">
                  <c:v>5.0009999999999994</c:v>
                </c:pt>
                <c:pt idx="6">
                  <c:v>6.0009999999999994</c:v>
                </c:pt>
                <c:pt idx="7">
                  <c:v>7.0009999999999994</c:v>
                </c:pt>
                <c:pt idx="8">
                  <c:v>8.0009999999999994</c:v>
                </c:pt>
                <c:pt idx="9">
                  <c:v>9.0009999999999994</c:v>
                </c:pt>
                <c:pt idx="10">
                  <c:v>10.000999999999999</c:v>
                </c:pt>
                <c:pt idx="11">
                  <c:v>11.000999999999999</c:v>
                </c:pt>
                <c:pt idx="12">
                  <c:v>12.000999999999999</c:v>
                </c:pt>
                <c:pt idx="13">
                  <c:v>13.000999999999999</c:v>
                </c:pt>
                <c:pt idx="14">
                  <c:v>14.000999999999999</c:v>
                </c:pt>
                <c:pt idx="15">
                  <c:v>15.000999999999999</c:v>
                </c:pt>
                <c:pt idx="16">
                  <c:v>16.000999999999998</c:v>
                </c:pt>
                <c:pt idx="17">
                  <c:v>17.000999999999998</c:v>
                </c:pt>
                <c:pt idx="18">
                  <c:v>18.000999999999998</c:v>
                </c:pt>
                <c:pt idx="19">
                  <c:v>19.000999999999998</c:v>
                </c:pt>
                <c:pt idx="20">
                  <c:v>20.000999999999998</c:v>
                </c:pt>
              </c:numCache>
            </c:numRef>
          </c:xVal>
          <c:yVal>
            <c:numRef>
              <c:f>'3Dwt'!$C$44:$W$44</c:f>
              <c:numCache>
                <c:formatCode>General</c:formatCode>
                <c:ptCount val="21"/>
                <c:pt idx="0">
                  <c:v>24.802135936032801</c:v>
                </c:pt>
                <c:pt idx="1">
                  <c:v>24.073341196876502</c:v>
                </c:pt>
                <c:pt idx="2">
                  <c:v>23.200266342455087</c:v>
                </c:pt>
                <c:pt idx="3">
                  <c:v>21.709484102098976</c:v>
                </c:pt>
                <c:pt idx="4">
                  <c:v>19.891940207242985</c:v>
                </c:pt>
                <c:pt idx="5">
                  <c:v>17.894937752442615</c:v>
                </c:pt>
                <c:pt idx="6">
                  <c:v>15.785688212339082</c:v>
                </c:pt>
                <c:pt idx="7">
                  <c:v>13.615796177932781</c:v>
                </c:pt>
                <c:pt idx="8">
                  <c:v>11.445025133630145</c:v>
                </c:pt>
                <c:pt idx="9">
                  <c:v>9.3438796325277131</c:v>
                </c:pt>
                <c:pt idx="10">
                  <c:v>7.3859865021062268</c:v>
                </c:pt>
                <c:pt idx="11">
                  <c:v>5.6367260843220315</c:v>
                </c:pt>
                <c:pt idx="12">
                  <c:v>4.1427922521149121</c:v>
                </c:pt>
                <c:pt idx="13">
                  <c:v>2.9258956921799419</c:v>
                </c:pt>
                <c:pt idx="14">
                  <c:v>1.9820093790895736</c:v>
                </c:pt>
                <c:pt idx="15">
                  <c:v>1.2856755228085597</c:v>
                </c:pt>
                <c:pt idx="16">
                  <c:v>0.79750699694328298</c:v>
                </c:pt>
                <c:pt idx="17">
                  <c:v>0.47249862647894209</c:v>
                </c:pt>
                <c:pt idx="18">
                  <c:v>0.26710924046210271</c:v>
                </c:pt>
                <c:pt idx="19">
                  <c:v>0.14395328704296048</c:v>
                </c:pt>
                <c:pt idx="20">
                  <c:v>7.3904934748181078E-2</c:v>
                </c:pt>
              </c:numCache>
            </c:numRef>
          </c:yVal>
          <c:smooth val="1"/>
        </c:ser>
        <c:dLbls>
          <c:showLegendKey val="0"/>
          <c:showVal val="0"/>
          <c:showCatName val="0"/>
          <c:showSerName val="0"/>
          <c:showPercent val="0"/>
          <c:showBubbleSize val="0"/>
        </c:dLbls>
        <c:axId val="44287872"/>
        <c:axId val="44290432"/>
      </c:scatterChart>
      <c:valAx>
        <c:axId val="44287872"/>
        <c:scaling>
          <c:orientation val="minMax"/>
        </c:scaling>
        <c:delete val="0"/>
        <c:axPos val="b"/>
        <c:title>
          <c:tx>
            <c:rich>
              <a:bodyPr/>
              <a:lstStyle/>
              <a:p>
                <a:pPr>
                  <a:defRPr sz="1150" b="1" i="0" u="none" strike="noStrike" baseline="0">
                    <a:solidFill>
                      <a:srgbClr val="000000"/>
                    </a:solidFill>
                    <a:latin typeface="Arial"/>
                    <a:ea typeface="Arial"/>
                    <a:cs typeface="Arial"/>
                  </a:defRPr>
                </a:pPr>
                <a:r>
                  <a:rPr lang="en-US"/>
                  <a:t>Distance</a:t>
                </a:r>
              </a:p>
            </c:rich>
          </c:tx>
          <c:layout>
            <c:manualLayout>
              <c:xMode val="edge"/>
              <c:yMode val="edge"/>
              <c:x val="0.47228971231376166"/>
              <c:y val="0.867221674058435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50" b="1" i="0" u="none" strike="noStrike" baseline="0">
                <a:solidFill>
                  <a:srgbClr val="000000"/>
                </a:solidFill>
                <a:latin typeface="Arial"/>
                <a:ea typeface="Arial"/>
                <a:cs typeface="Arial"/>
              </a:defRPr>
            </a:pPr>
            <a:endParaRPr lang="en-US"/>
          </a:p>
        </c:txPr>
        <c:crossAx val="44290432"/>
        <c:crosses val="autoZero"/>
        <c:crossBetween val="midCat"/>
      </c:valAx>
      <c:valAx>
        <c:axId val="44290432"/>
        <c:scaling>
          <c:orientation val="minMax"/>
          <c:min val="0"/>
        </c:scaling>
        <c:delete val="0"/>
        <c:axPos val="l"/>
        <c:title>
          <c:tx>
            <c:rich>
              <a:bodyPr/>
              <a:lstStyle/>
              <a:p>
                <a:pPr>
                  <a:defRPr sz="1150" b="1" i="0" u="none" strike="noStrike" baseline="0">
                    <a:solidFill>
                      <a:srgbClr val="000000"/>
                    </a:solidFill>
                    <a:latin typeface="Arial"/>
                    <a:ea typeface="Arial"/>
                    <a:cs typeface="Arial"/>
                  </a:defRPr>
                </a:pPr>
                <a:r>
                  <a:rPr lang="en-US"/>
                  <a:t>Conc.</a:t>
                </a:r>
              </a:p>
            </c:rich>
          </c:tx>
          <c:layout>
            <c:manualLayout>
              <c:xMode val="edge"/>
              <c:yMode val="edge"/>
              <c:x val="1.2048206946779634E-2"/>
              <c:y val="0.360996582024324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50" b="1" i="0" u="none" strike="noStrike" baseline="0">
                <a:solidFill>
                  <a:srgbClr val="000000"/>
                </a:solidFill>
                <a:latin typeface="Arial"/>
                <a:ea typeface="Arial"/>
                <a:cs typeface="Arial"/>
              </a:defRPr>
            </a:pPr>
            <a:endParaRPr lang="en-US"/>
          </a:p>
        </c:txPr>
        <c:crossAx val="44287872"/>
        <c:crosses val="autoZero"/>
        <c:crossBetween val="midCat"/>
      </c:valAx>
      <c:spPr>
        <a:solidFill>
          <a:srgbClr val="FFFFFF"/>
        </a:solidFill>
        <a:ln w="254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07242807844041"/>
          <c:y val="0.13524617228758223"/>
          <c:w val="0.82891663793843884"/>
          <c:h val="0.65983738600911324"/>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'3Dwt'!$B$34:$B$54</c:f>
              <c:numCache>
                <c:formatCode>General</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'3Dwt'!$J$34:$J$54</c:f>
              <c:numCache>
                <c:formatCode>General</c:formatCode>
                <c:ptCount val="21"/>
                <c:pt idx="0">
                  <c:v>2.6527820447874041E-2</c:v>
                </c:pt>
                <c:pt idx="1">
                  <c:v>9.6203350129075493E-2</c:v>
                </c:pt>
                <c:pt idx="2">
                  <c:v>0.29643828105509368</c:v>
                </c:pt>
                <c:pt idx="3">
                  <c:v>0.77892416839661738</c:v>
                </c:pt>
                <c:pt idx="4">
                  <c:v>1.7534768592164449</c:v>
                </c:pt>
                <c:pt idx="5">
                  <c:v>3.4022165706227594</c:v>
                </c:pt>
                <c:pt idx="6">
                  <c:v>5.7328974632075518</c:v>
                </c:pt>
                <c:pt idx="7">
                  <c:v>8.4663926457077032</c:v>
                </c:pt>
                <c:pt idx="8">
                  <c:v>11.069306184459769</c:v>
                </c:pt>
                <c:pt idx="9">
                  <c:v>12.937655680557683</c:v>
                </c:pt>
                <c:pt idx="10">
                  <c:v>13.615796177932781</c:v>
                </c:pt>
                <c:pt idx="11">
                  <c:v>12.937655680557683</c:v>
                </c:pt>
                <c:pt idx="12">
                  <c:v>11.069306184459769</c:v>
                </c:pt>
                <c:pt idx="13">
                  <c:v>8.4663926457077032</c:v>
                </c:pt>
                <c:pt idx="14">
                  <c:v>5.7328974632075518</c:v>
                </c:pt>
                <c:pt idx="15">
                  <c:v>3.4022165706227594</c:v>
                </c:pt>
                <c:pt idx="16">
                  <c:v>1.7534768592164449</c:v>
                </c:pt>
                <c:pt idx="17">
                  <c:v>0.77892416839661738</c:v>
                </c:pt>
                <c:pt idx="18">
                  <c:v>0.29643828105509368</c:v>
                </c:pt>
                <c:pt idx="19">
                  <c:v>9.6203350129075493E-2</c:v>
                </c:pt>
                <c:pt idx="20">
                  <c:v>2.6527820447874041E-2</c:v>
                </c:pt>
              </c:numCache>
            </c:numRef>
          </c:yVal>
          <c:smooth val="1"/>
        </c:ser>
        <c:dLbls>
          <c:showLegendKey val="0"/>
          <c:showVal val="0"/>
          <c:showCatName val="0"/>
          <c:showSerName val="0"/>
          <c:showPercent val="0"/>
          <c:showBubbleSize val="0"/>
        </c:dLbls>
        <c:axId val="44323968"/>
        <c:axId val="44326272"/>
      </c:scatterChart>
      <c:valAx>
        <c:axId val="44323968"/>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Distance</a:t>
                </a:r>
              </a:p>
            </c:rich>
          </c:tx>
          <c:layout>
            <c:manualLayout>
              <c:xMode val="edge"/>
              <c:yMode val="edge"/>
              <c:x val="0.4554222225882702"/>
              <c:y val="0.8852476731550836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326272"/>
        <c:crosses val="autoZero"/>
        <c:crossBetween val="midCat"/>
      </c:valAx>
      <c:valAx>
        <c:axId val="44326272"/>
        <c:scaling>
          <c:orientation val="minMax"/>
          <c:min val="0"/>
        </c:scaling>
        <c:delete val="0"/>
        <c:axPos val="l"/>
        <c:title>
          <c:tx>
            <c:rich>
              <a:bodyPr/>
              <a:lstStyle/>
              <a:p>
                <a:pPr>
                  <a:defRPr sz="1025" b="1" i="0" u="none" strike="noStrike" baseline="0">
                    <a:solidFill>
                      <a:srgbClr val="000000"/>
                    </a:solidFill>
                    <a:latin typeface="Arial"/>
                    <a:ea typeface="Arial"/>
                    <a:cs typeface="Arial"/>
                  </a:defRPr>
                </a:pPr>
                <a:r>
                  <a:rPr lang="en-US"/>
                  <a:t>Conc. </a:t>
                </a:r>
              </a:p>
            </c:rich>
          </c:tx>
          <c:layout>
            <c:manualLayout>
              <c:xMode val="edge"/>
              <c:yMode val="edge"/>
              <c:x val="1.2048206946779634E-2"/>
              <c:y val="0.3647548282907520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323968"/>
        <c:crossesAt val="-10"/>
        <c:crossBetween val="midCat"/>
      </c:valAx>
      <c:spPr>
        <a:solidFill>
          <a:srgbClr val="FFFFFF"/>
        </a:solidFill>
        <a:ln w="254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660316145079722"/>
          <c:y val="8.6486600621041784E-2"/>
          <c:w val="0.33492875132194372"/>
          <c:h val="0.57297372911440181"/>
        </c:manualLayout>
      </c:layout>
      <c:barChart>
        <c:barDir val="col"/>
        <c:grouping val="clustered"/>
        <c:varyColors val="0"/>
        <c:ser>
          <c:idx val="1"/>
          <c:order val="0"/>
          <c:tx>
            <c:strRef>
              <c:f>'3Dwt'!$AG$4</c:f>
              <c:strCache>
                <c:ptCount val="1"/>
                <c:pt idx="0">
                  <c:v>Frequency</c:v>
                </c:pt>
              </c:strCache>
            </c:strRef>
          </c:tx>
          <c:spPr>
            <a:solidFill>
              <a:srgbClr val="9999FF"/>
            </a:solidFill>
            <a:ln w="12700">
              <a:solidFill>
                <a:srgbClr val="000000"/>
              </a:solidFill>
              <a:prstDash val="solid"/>
            </a:ln>
          </c:spPr>
          <c:invertIfNegative val="0"/>
          <c:cat>
            <c:numRef>
              <c:f>'3Dwt'!$AF$5:$AF$17</c:f>
              <c:numCache>
                <c:formatCode>0.00E+00</c:formatCode>
                <c:ptCount val="13"/>
                <c:pt idx="0">
                  <c:v>2.9779638822863593E-11</c:v>
                </c:pt>
                <c:pt idx="1">
                  <c:v>1.1682207813314343</c:v>
                </c:pt>
                <c:pt idx="2">
                  <c:v>2.3364415626330888</c:v>
                </c:pt>
                <c:pt idx="3">
                  <c:v>3.5046623439347435</c:v>
                </c:pt>
                <c:pt idx="4">
                  <c:v>4.6728831252363978</c:v>
                </c:pt>
                <c:pt idx="5">
                  <c:v>5.8411039065380521</c:v>
                </c:pt>
                <c:pt idx="6">
                  <c:v>7.0093246878397064</c:v>
                </c:pt>
                <c:pt idx="7">
                  <c:v>8.1775454691413607</c:v>
                </c:pt>
                <c:pt idx="8">
                  <c:v>9.345766250443015</c:v>
                </c:pt>
                <c:pt idx="9">
                  <c:v>10.513987031744669</c:v>
                </c:pt>
                <c:pt idx="10">
                  <c:v>11.682207813046324</c:v>
                </c:pt>
                <c:pt idx="11">
                  <c:v>12.850428594347978</c:v>
                </c:pt>
                <c:pt idx="12">
                  <c:v>14.018649375649632</c:v>
                </c:pt>
              </c:numCache>
            </c:numRef>
          </c:cat>
          <c:val>
            <c:numRef>
              <c:f>'3Dwt'!$AG$5:$AG$17</c:f>
              <c:numCache>
                <c:formatCode>General</c:formatCode>
                <c:ptCount val="13"/>
                <c:pt idx="0">
                  <c:v>1</c:v>
                </c:pt>
                <c:pt idx="1">
                  <c:v>3</c:v>
                </c:pt>
                <c:pt idx="2">
                  <c:v>2</c:v>
                </c:pt>
                <c:pt idx="3">
                  <c:v>7</c:v>
                </c:pt>
                <c:pt idx="4">
                  <c:v>16</c:v>
                </c:pt>
                <c:pt idx="5">
                  <c:v>19</c:v>
                </c:pt>
                <c:pt idx="6">
                  <c:v>28</c:v>
                </c:pt>
                <c:pt idx="7">
                  <c:v>38</c:v>
                </c:pt>
                <c:pt idx="8">
                  <c:v>35</c:v>
                </c:pt>
                <c:pt idx="9">
                  <c:v>24</c:v>
                </c:pt>
                <c:pt idx="10">
                  <c:v>14</c:v>
                </c:pt>
                <c:pt idx="11">
                  <c:v>8</c:v>
                </c:pt>
                <c:pt idx="12">
                  <c:v>5</c:v>
                </c:pt>
              </c:numCache>
            </c:numRef>
          </c:val>
        </c:ser>
        <c:dLbls>
          <c:showLegendKey val="0"/>
          <c:showVal val="0"/>
          <c:showCatName val="0"/>
          <c:showSerName val="0"/>
          <c:showPercent val="0"/>
          <c:showBubbleSize val="0"/>
        </c:dLbls>
        <c:gapWidth val="20"/>
        <c:axId val="44364160"/>
        <c:axId val="44366080"/>
      </c:barChart>
      <c:lineChart>
        <c:grouping val="standard"/>
        <c:varyColors val="0"/>
        <c:ser>
          <c:idx val="0"/>
          <c:order val="1"/>
          <c:tx>
            <c:strRef>
              <c:f>'3Dwt'!$AK$4</c:f>
              <c:strCache>
                <c:ptCount val="1"/>
                <c:pt idx="0">
                  <c:v>Cummul. Prob.</c:v>
                </c:pt>
              </c:strCache>
            </c:strRef>
          </c:tx>
          <c:spPr>
            <a:ln w="38100">
              <a:solidFill>
                <a:srgbClr val="000080"/>
              </a:solidFill>
              <a:prstDash val="solid"/>
            </a:ln>
          </c:spPr>
          <c:marker>
            <c:symbol val="none"/>
          </c:marker>
          <c:cat>
            <c:numRef>
              <c:f>'3Dwt'!$AJ$5:$AJ$17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'3Dwt'!$AK$5:$AK$17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44368256"/>
        <c:axId val="44369792"/>
      </c:lineChart>
      <c:catAx>
        <c:axId val="44364160"/>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Concentration</a:t>
                </a:r>
              </a:p>
            </c:rich>
          </c:tx>
          <c:layout>
            <c:manualLayout>
              <c:xMode val="edge"/>
              <c:yMode val="edge"/>
              <c:x val="0.26315830461009865"/>
              <c:y val="0.8810822438268631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2700000" vert="horz"/>
          <a:lstStyle/>
          <a:p>
            <a:pPr>
              <a:defRPr sz="1200" b="1" i="0" u="none" strike="noStrike" baseline="0">
                <a:solidFill>
                  <a:srgbClr val="000000"/>
                </a:solidFill>
                <a:latin typeface="Arial"/>
                <a:ea typeface="Arial"/>
                <a:cs typeface="Arial"/>
              </a:defRPr>
            </a:pPr>
            <a:endParaRPr lang="en-US"/>
          </a:p>
        </c:txPr>
        <c:crossAx val="44366080"/>
        <c:crosses val="autoZero"/>
        <c:auto val="1"/>
        <c:lblAlgn val="ctr"/>
        <c:lblOffset val="100"/>
        <c:tickLblSkip val="2"/>
        <c:tickMarkSkip val="1"/>
        <c:noMultiLvlLbl val="0"/>
      </c:catAx>
      <c:valAx>
        <c:axId val="44366080"/>
        <c:scaling>
          <c:orientation val="minMax"/>
          <c:min val="0"/>
        </c:scaling>
        <c:delete val="0"/>
        <c:axPos val="l"/>
        <c:title>
          <c:tx>
            <c:rich>
              <a:bodyPr/>
              <a:lstStyle/>
              <a:p>
                <a:pPr>
                  <a:defRPr sz="1200" b="1" i="0" u="none" strike="noStrike" baseline="0">
                    <a:solidFill>
                      <a:srgbClr val="000000"/>
                    </a:solidFill>
                    <a:latin typeface="Arial"/>
                    <a:ea typeface="Arial"/>
                    <a:cs typeface="Arial"/>
                  </a:defRPr>
                </a:pPr>
                <a:r>
                  <a:rPr lang="en-US"/>
                  <a:t>Frequency</a:t>
                </a:r>
              </a:p>
            </c:rich>
          </c:tx>
          <c:layout>
            <c:manualLayout>
              <c:xMode val="edge"/>
              <c:yMode val="edge"/>
              <c:x val="3.9872470395469491E-2"/>
              <c:y val="0.2621625081325328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364160"/>
        <c:crosses val="autoZero"/>
        <c:crossBetween val="between"/>
      </c:valAx>
      <c:catAx>
        <c:axId val="44368256"/>
        <c:scaling>
          <c:orientation val="minMax"/>
        </c:scaling>
        <c:delete val="1"/>
        <c:axPos val="b"/>
        <c:numFmt formatCode="0.00" sourceLinked="1"/>
        <c:majorTickMark val="out"/>
        <c:minorTickMark val="none"/>
        <c:tickLblPos val="nextTo"/>
        <c:crossAx val="44369792"/>
        <c:crosses val="autoZero"/>
        <c:auto val="1"/>
        <c:lblAlgn val="ctr"/>
        <c:lblOffset val="100"/>
        <c:noMultiLvlLbl val="0"/>
      </c:catAx>
      <c:valAx>
        <c:axId val="44369792"/>
        <c:scaling>
          <c:orientation val="minMax"/>
        </c:scaling>
        <c:delete val="0"/>
        <c:axPos val="r"/>
        <c:title>
          <c:tx>
            <c:rich>
              <a:bodyPr/>
              <a:lstStyle/>
              <a:p>
                <a:pPr>
                  <a:defRPr sz="1200" b="1" i="0" u="none" strike="noStrike" baseline="0">
                    <a:solidFill>
                      <a:srgbClr val="000000"/>
                    </a:solidFill>
                    <a:latin typeface="Arial"/>
                    <a:ea typeface="Arial"/>
                    <a:cs typeface="Arial"/>
                  </a:defRPr>
                </a:pPr>
                <a:r>
                  <a:rPr lang="en-US"/>
                  <a:t>Probability of exceeding</a:t>
                </a:r>
              </a:p>
            </c:rich>
          </c:tx>
          <c:layout>
            <c:manualLayout>
              <c:xMode val="edge"/>
              <c:yMode val="edge"/>
              <c:x val="0.65071871685406213"/>
              <c:y val="0.116216369584524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368256"/>
        <c:crosses val="max"/>
        <c:crossBetween val="between"/>
      </c:valAx>
      <c:spPr>
        <a:solidFill>
          <a:srgbClr val="FFFFFF"/>
        </a:solidFill>
        <a:ln w="25400">
          <a:noFill/>
        </a:ln>
      </c:spPr>
    </c:plotArea>
    <c:legend>
      <c:legendPos val="r"/>
      <c:layout>
        <c:manualLayout>
          <c:xMode val="edge"/>
          <c:yMode val="edge"/>
          <c:x val="0.72089426475008844"/>
          <c:y val="0.42432488429698623"/>
          <c:w val="0.2121215425038977"/>
          <c:h val="0.24054085797727245"/>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67593327106393"/>
          <c:y val="7.8167115902964962E-2"/>
          <c:w val="0.41441502207533032"/>
          <c:h val="0.58490566037735847"/>
        </c:manualLayout>
      </c:layout>
      <c:barChart>
        <c:barDir val="col"/>
        <c:grouping val="clustered"/>
        <c:varyColors val="0"/>
        <c:ser>
          <c:idx val="1"/>
          <c:order val="0"/>
          <c:tx>
            <c:strRef>
              <c:f>'3Dwt'!$AG$4</c:f>
              <c:strCache>
                <c:ptCount val="1"/>
                <c:pt idx="0">
                  <c:v>Frequency</c:v>
                </c:pt>
              </c:strCache>
            </c:strRef>
          </c:tx>
          <c:spPr>
            <a:solidFill>
              <a:srgbClr val="9999FF"/>
            </a:solidFill>
            <a:ln w="12700">
              <a:solidFill>
                <a:srgbClr val="000000"/>
              </a:solidFill>
              <a:prstDash val="solid"/>
            </a:ln>
          </c:spPr>
          <c:invertIfNegative val="0"/>
          <c:cat>
            <c:numRef>
              <c:f>'3Dwt'!$AP$5:$AP$17</c:f>
              <c:numCache>
                <c:formatCode>0.00E+00</c:formatCode>
                <c:ptCount val="13"/>
                <c:pt idx="0">
                  <c:v>8.4327125861425291E-11</c:v>
                </c:pt>
                <c:pt idx="1">
                  <c:v>3.3080555962161102</c:v>
                </c:pt>
                <c:pt idx="2">
                  <c:v>6.6161111923478932</c:v>
                </c:pt>
                <c:pt idx="3">
                  <c:v>9.9241667884796758</c:v>
                </c:pt>
                <c:pt idx="4">
                  <c:v>13.232222384611459</c:v>
                </c:pt>
                <c:pt idx="5">
                  <c:v>16.540277980743241</c:v>
                </c:pt>
                <c:pt idx="6">
                  <c:v>19.848333576875024</c:v>
                </c:pt>
                <c:pt idx="7">
                  <c:v>23.156389173006808</c:v>
                </c:pt>
                <c:pt idx="8">
                  <c:v>26.464444769138591</c:v>
                </c:pt>
                <c:pt idx="9">
                  <c:v>29.772500365270375</c:v>
                </c:pt>
                <c:pt idx="10">
                  <c:v>33.080555961402155</c:v>
                </c:pt>
                <c:pt idx="11">
                  <c:v>36.388611557533935</c:v>
                </c:pt>
                <c:pt idx="12">
                  <c:v>39.696667153665715</c:v>
                </c:pt>
              </c:numCache>
            </c:numRef>
          </c:cat>
          <c:val>
            <c:numRef>
              <c:f>'3Dwt'!$AQ$5:$AQ$17</c:f>
              <c:numCache>
                <c:formatCode>General</c:formatCode>
                <c:ptCount val="13"/>
                <c:pt idx="0">
                  <c:v>1</c:v>
                </c:pt>
                <c:pt idx="1">
                  <c:v>3</c:v>
                </c:pt>
                <c:pt idx="2">
                  <c:v>2</c:v>
                </c:pt>
                <c:pt idx="3">
                  <c:v>7</c:v>
                </c:pt>
                <c:pt idx="4">
                  <c:v>16</c:v>
                </c:pt>
                <c:pt idx="5">
                  <c:v>19</c:v>
                </c:pt>
                <c:pt idx="6">
                  <c:v>28</c:v>
                </c:pt>
                <c:pt idx="7">
                  <c:v>38</c:v>
                </c:pt>
                <c:pt idx="8">
                  <c:v>35</c:v>
                </c:pt>
                <c:pt idx="9">
                  <c:v>24</c:v>
                </c:pt>
                <c:pt idx="10">
                  <c:v>14</c:v>
                </c:pt>
                <c:pt idx="11">
                  <c:v>8</c:v>
                </c:pt>
                <c:pt idx="12">
                  <c:v>4</c:v>
                </c:pt>
              </c:numCache>
            </c:numRef>
          </c:val>
        </c:ser>
        <c:dLbls>
          <c:showLegendKey val="0"/>
          <c:showVal val="0"/>
          <c:showCatName val="0"/>
          <c:showSerName val="0"/>
          <c:showPercent val="0"/>
          <c:showBubbleSize val="0"/>
        </c:dLbls>
        <c:gapWidth val="20"/>
        <c:axId val="44413312"/>
        <c:axId val="44415232"/>
      </c:barChart>
      <c:lineChart>
        <c:grouping val="standard"/>
        <c:varyColors val="0"/>
        <c:ser>
          <c:idx val="0"/>
          <c:order val="1"/>
          <c:tx>
            <c:strRef>
              <c:f>'3Dwt'!$AU$4</c:f>
              <c:strCache>
                <c:ptCount val="1"/>
                <c:pt idx="0">
                  <c:v>Cummul. Prob.</c:v>
                </c:pt>
              </c:strCache>
            </c:strRef>
          </c:tx>
          <c:spPr>
            <a:ln w="38100">
              <a:solidFill>
                <a:srgbClr val="000080"/>
              </a:solidFill>
              <a:prstDash val="solid"/>
            </a:ln>
          </c:spPr>
          <c:marker>
            <c:symbol val="none"/>
          </c:marker>
          <c:cat>
            <c:numRef>
              <c:f>'3Dwt'!$AT$5:$AT$17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'3Dwt'!$AU$5:$AU$17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44417408"/>
        <c:axId val="44418944"/>
      </c:lineChart>
      <c:catAx>
        <c:axId val="44413312"/>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Concentration</a:t>
                </a:r>
              </a:p>
            </c:rich>
          </c:tx>
          <c:layout>
            <c:manualLayout>
              <c:xMode val="edge"/>
              <c:yMode val="edge"/>
              <c:x val="0.29729773322795439"/>
              <c:y val="0.88409703504043125"/>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2700000" vert="horz"/>
          <a:lstStyle/>
          <a:p>
            <a:pPr>
              <a:defRPr sz="1200" b="1" i="0" u="none" strike="noStrike" baseline="0">
                <a:solidFill>
                  <a:srgbClr val="000000"/>
                </a:solidFill>
                <a:latin typeface="Arial"/>
                <a:ea typeface="Arial"/>
                <a:cs typeface="Arial"/>
              </a:defRPr>
            </a:pPr>
            <a:endParaRPr lang="en-US"/>
          </a:p>
        </c:txPr>
        <c:crossAx val="44415232"/>
        <c:crosses val="autoZero"/>
        <c:auto val="1"/>
        <c:lblAlgn val="ctr"/>
        <c:lblOffset val="100"/>
        <c:tickLblSkip val="2"/>
        <c:tickMarkSkip val="1"/>
        <c:noMultiLvlLbl val="0"/>
      </c:catAx>
      <c:valAx>
        <c:axId val="44415232"/>
        <c:scaling>
          <c:orientation val="minMax"/>
          <c:min val="0"/>
        </c:scaling>
        <c:delete val="0"/>
        <c:axPos val="l"/>
        <c:title>
          <c:tx>
            <c:rich>
              <a:bodyPr/>
              <a:lstStyle/>
              <a:p>
                <a:pPr>
                  <a:defRPr sz="1200" b="1" i="0" u="none" strike="noStrike" baseline="0">
                    <a:solidFill>
                      <a:srgbClr val="000000"/>
                    </a:solidFill>
                    <a:latin typeface="Arial"/>
                    <a:ea typeface="Arial"/>
                    <a:cs typeface="Arial"/>
                  </a:defRPr>
                </a:pPr>
                <a:r>
                  <a:rPr lang="en-US"/>
                  <a:t>Frequency</a:t>
                </a:r>
              </a:p>
            </c:rich>
          </c:tx>
          <c:layout>
            <c:manualLayout>
              <c:xMode val="edge"/>
              <c:yMode val="edge"/>
              <c:x val="4.0540599985630144E-2"/>
              <c:y val="0.25876010781671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413312"/>
        <c:crosses val="autoZero"/>
        <c:crossBetween val="between"/>
      </c:valAx>
      <c:catAx>
        <c:axId val="44417408"/>
        <c:scaling>
          <c:orientation val="minMax"/>
        </c:scaling>
        <c:delete val="1"/>
        <c:axPos val="b"/>
        <c:numFmt formatCode="0.00" sourceLinked="1"/>
        <c:majorTickMark val="out"/>
        <c:minorTickMark val="none"/>
        <c:tickLblPos val="nextTo"/>
        <c:crossAx val="44418944"/>
        <c:crosses val="autoZero"/>
        <c:auto val="1"/>
        <c:lblAlgn val="ctr"/>
        <c:lblOffset val="100"/>
        <c:noMultiLvlLbl val="0"/>
      </c:catAx>
      <c:valAx>
        <c:axId val="44418944"/>
        <c:scaling>
          <c:orientation val="minMax"/>
        </c:scaling>
        <c:delete val="0"/>
        <c:axPos val="r"/>
        <c:title>
          <c:tx>
            <c:rich>
              <a:bodyPr/>
              <a:lstStyle/>
              <a:p>
                <a:pPr>
                  <a:defRPr sz="1200" b="1" i="0" u="none" strike="noStrike" baseline="0">
                    <a:solidFill>
                      <a:srgbClr val="000000"/>
                    </a:solidFill>
                    <a:latin typeface="Arial"/>
                    <a:ea typeface="Arial"/>
                    <a:cs typeface="Arial"/>
                  </a:defRPr>
                </a:pPr>
                <a:r>
                  <a:rPr lang="en-US"/>
                  <a:t>Probability of exceeding</a:t>
                </a:r>
              </a:p>
            </c:rich>
          </c:tx>
          <c:layout>
            <c:manualLayout>
              <c:xMode val="edge"/>
              <c:yMode val="edge"/>
              <c:x val="0.71171275530328471"/>
              <c:y val="0.1132075471698113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417408"/>
        <c:crosses val="max"/>
        <c:crossBetween val="between"/>
      </c:valAx>
      <c:spPr>
        <a:solidFill>
          <a:srgbClr val="FFFFFF"/>
        </a:solidFill>
        <a:ln w="25400">
          <a:noFill/>
        </a:ln>
      </c:spPr>
    </c:plotArea>
    <c:legend>
      <c:legendPos val="r"/>
      <c:layout>
        <c:manualLayout>
          <c:xMode val="edge"/>
          <c:yMode val="edge"/>
          <c:x val="0.78678794046185907"/>
          <c:y val="0.32345013477088946"/>
          <c:w val="0.19969999252180773"/>
          <c:h val="0.23989218328840969"/>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00826263497844"/>
          <c:y val="7.8167115902964962E-2"/>
          <c:w val="0.38118081698068834"/>
          <c:h val="0.58490566037735847"/>
        </c:manualLayout>
      </c:layout>
      <c:barChart>
        <c:barDir val="col"/>
        <c:grouping val="clustered"/>
        <c:varyColors val="0"/>
        <c:ser>
          <c:idx val="1"/>
          <c:order val="0"/>
          <c:tx>
            <c:strRef>
              <c:f>'3Dwt'!$AG$54</c:f>
              <c:strCache>
                <c:ptCount val="1"/>
                <c:pt idx="0">
                  <c:v>Frequency</c:v>
                </c:pt>
              </c:strCache>
            </c:strRef>
          </c:tx>
          <c:spPr>
            <a:solidFill>
              <a:srgbClr val="9999FF"/>
            </a:solidFill>
            <a:ln w="12700">
              <a:solidFill>
                <a:srgbClr val="000000"/>
              </a:solidFill>
              <a:prstDash val="solid"/>
            </a:ln>
          </c:spPr>
          <c:invertIfNegative val="0"/>
          <c:cat>
            <c:numRef>
              <c:f>'3Dwt'!$AF$55:$AF$67</c:f>
              <c:numCache>
                <c:formatCode>0.00E+00</c:formatCode>
                <c:ptCount val="13"/>
                <c:pt idx="0">
                  <c:v>8.4327125861425291E-11</c:v>
                </c:pt>
                <c:pt idx="1">
                  <c:v>3.3080555962161102</c:v>
                </c:pt>
                <c:pt idx="2">
                  <c:v>6.6161111923478932</c:v>
                </c:pt>
                <c:pt idx="3">
                  <c:v>9.9241667884796758</c:v>
                </c:pt>
                <c:pt idx="4">
                  <c:v>13.232222384611459</c:v>
                </c:pt>
                <c:pt idx="5">
                  <c:v>16.540277980743241</c:v>
                </c:pt>
                <c:pt idx="6">
                  <c:v>19.848333576875024</c:v>
                </c:pt>
                <c:pt idx="7">
                  <c:v>23.156389173006808</c:v>
                </c:pt>
                <c:pt idx="8">
                  <c:v>26.464444769138591</c:v>
                </c:pt>
                <c:pt idx="9">
                  <c:v>29.772500365270375</c:v>
                </c:pt>
                <c:pt idx="10">
                  <c:v>33.080555961402155</c:v>
                </c:pt>
                <c:pt idx="11">
                  <c:v>36.388611557533935</c:v>
                </c:pt>
                <c:pt idx="12">
                  <c:v>39.696667153665715</c:v>
                </c:pt>
              </c:numCache>
            </c:numRef>
          </c:cat>
          <c:val>
            <c:numRef>
              <c:f>'3Dwt'!$AG$55:$AG$67</c:f>
              <c:numCache>
                <c:formatCode>General</c:formatCode>
                <c:ptCount val="13"/>
                <c:pt idx="0">
                  <c:v>1</c:v>
                </c:pt>
                <c:pt idx="1">
                  <c:v>3</c:v>
                </c:pt>
                <c:pt idx="2">
                  <c:v>2</c:v>
                </c:pt>
                <c:pt idx="3">
                  <c:v>7</c:v>
                </c:pt>
                <c:pt idx="4">
                  <c:v>16</c:v>
                </c:pt>
                <c:pt idx="5">
                  <c:v>19</c:v>
                </c:pt>
                <c:pt idx="6">
                  <c:v>28</c:v>
                </c:pt>
                <c:pt idx="7">
                  <c:v>38</c:v>
                </c:pt>
                <c:pt idx="8">
                  <c:v>35</c:v>
                </c:pt>
                <c:pt idx="9">
                  <c:v>24</c:v>
                </c:pt>
                <c:pt idx="10">
                  <c:v>14</c:v>
                </c:pt>
                <c:pt idx="11">
                  <c:v>8</c:v>
                </c:pt>
                <c:pt idx="12">
                  <c:v>4</c:v>
                </c:pt>
              </c:numCache>
            </c:numRef>
          </c:val>
        </c:ser>
        <c:dLbls>
          <c:showLegendKey val="0"/>
          <c:showVal val="0"/>
          <c:showCatName val="0"/>
          <c:showSerName val="0"/>
          <c:showPercent val="0"/>
          <c:showBubbleSize val="0"/>
        </c:dLbls>
        <c:gapWidth val="20"/>
        <c:axId val="44924928"/>
        <c:axId val="44926848"/>
      </c:barChart>
      <c:lineChart>
        <c:grouping val="standard"/>
        <c:varyColors val="0"/>
        <c:ser>
          <c:idx val="0"/>
          <c:order val="1"/>
          <c:tx>
            <c:strRef>
              <c:f>'3Dwt'!$AK$54</c:f>
              <c:strCache>
                <c:ptCount val="1"/>
                <c:pt idx="0">
                  <c:v>Cummul. Prob.</c:v>
                </c:pt>
              </c:strCache>
            </c:strRef>
          </c:tx>
          <c:spPr>
            <a:ln w="38100">
              <a:solidFill>
                <a:srgbClr val="000080"/>
              </a:solidFill>
              <a:prstDash val="solid"/>
            </a:ln>
          </c:spPr>
          <c:marker>
            <c:symbol val="none"/>
          </c:marker>
          <c:cat>
            <c:numRef>
              <c:f>'3Dwt'!$AJ$55:$AJ$67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'3Dwt'!$AK$55:$AK$67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44937216"/>
        <c:axId val="44938752"/>
      </c:lineChart>
      <c:catAx>
        <c:axId val="44924928"/>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Concentration</a:t>
                </a:r>
              </a:p>
            </c:rich>
          </c:tx>
          <c:layout>
            <c:manualLayout>
              <c:xMode val="edge"/>
              <c:yMode val="edge"/>
              <c:x val="0.28389198921574277"/>
              <c:y val="0.88409703504043125"/>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2700000" vert="horz"/>
          <a:lstStyle/>
          <a:p>
            <a:pPr>
              <a:defRPr sz="1200" b="1" i="0" u="none" strike="noStrike" baseline="0">
                <a:solidFill>
                  <a:srgbClr val="000000"/>
                </a:solidFill>
                <a:latin typeface="Arial"/>
                <a:ea typeface="Arial"/>
                <a:cs typeface="Arial"/>
              </a:defRPr>
            </a:pPr>
            <a:endParaRPr lang="en-US"/>
          </a:p>
        </c:txPr>
        <c:crossAx val="44926848"/>
        <c:crosses val="autoZero"/>
        <c:auto val="1"/>
        <c:lblAlgn val="ctr"/>
        <c:lblOffset val="100"/>
        <c:tickLblSkip val="2"/>
        <c:tickMarkSkip val="1"/>
        <c:noMultiLvlLbl val="0"/>
      </c:catAx>
      <c:valAx>
        <c:axId val="44926848"/>
        <c:scaling>
          <c:orientation val="minMax"/>
          <c:min val="0"/>
        </c:scaling>
        <c:delete val="0"/>
        <c:axPos val="l"/>
        <c:title>
          <c:tx>
            <c:rich>
              <a:bodyPr/>
              <a:lstStyle/>
              <a:p>
                <a:pPr>
                  <a:defRPr sz="1200" b="1" i="0" u="none" strike="noStrike" baseline="0">
                    <a:solidFill>
                      <a:srgbClr val="000000"/>
                    </a:solidFill>
                    <a:latin typeface="Arial"/>
                    <a:ea typeface="Arial"/>
                    <a:cs typeface="Arial"/>
                  </a:defRPr>
                </a:pPr>
                <a:r>
                  <a:rPr lang="en-US"/>
                  <a:t>Frequency</a:t>
                </a:r>
              </a:p>
            </c:rich>
          </c:tx>
          <c:layout>
            <c:manualLayout>
              <c:xMode val="edge"/>
              <c:yMode val="edge"/>
              <c:x val="3.8277571579650713E-2"/>
              <c:y val="0.25876010781671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924928"/>
        <c:crosses val="autoZero"/>
        <c:crossBetween val="between"/>
      </c:valAx>
      <c:catAx>
        <c:axId val="44937216"/>
        <c:scaling>
          <c:orientation val="minMax"/>
        </c:scaling>
        <c:delete val="1"/>
        <c:axPos val="b"/>
        <c:numFmt formatCode="0.00" sourceLinked="1"/>
        <c:majorTickMark val="out"/>
        <c:minorTickMark val="none"/>
        <c:tickLblPos val="nextTo"/>
        <c:crossAx val="44938752"/>
        <c:crosses val="autoZero"/>
        <c:auto val="1"/>
        <c:lblAlgn val="ctr"/>
        <c:lblOffset val="100"/>
        <c:noMultiLvlLbl val="0"/>
      </c:catAx>
      <c:valAx>
        <c:axId val="44938752"/>
        <c:scaling>
          <c:orientation val="minMax"/>
        </c:scaling>
        <c:delete val="0"/>
        <c:axPos val="r"/>
        <c:title>
          <c:tx>
            <c:rich>
              <a:bodyPr/>
              <a:lstStyle/>
              <a:p>
                <a:pPr>
                  <a:defRPr sz="1200" b="1" i="0" u="none" strike="noStrike" baseline="0">
                    <a:solidFill>
                      <a:srgbClr val="000000"/>
                    </a:solidFill>
                    <a:latin typeface="Arial"/>
                    <a:ea typeface="Arial"/>
                    <a:cs typeface="Arial"/>
                  </a:defRPr>
                </a:pPr>
                <a:r>
                  <a:rPr lang="en-US"/>
                  <a:t>Probability of exceeding</a:t>
                </a:r>
              </a:p>
            </c:rich>
          </c:tx>
          <c:layout>
            <c:manualLayout>
              <c:xMode val="edge"/>
              <c:yMode val="edge"/>
              <c:x val="0.69537588369698788"/>
              <c:y val="0.1132075471698113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937216"/>
        <c:crosses val="max"/>
        <c:crossBetween val="between"/>
      </c:valAx>
      <c:spPr>
        <a:solidFill>
          <a:srgbClr val="FFFFFF"/>
        </a:solidFill>
        <a:ln w="25400">
          <a:noFill/>
        </a:ln>
      </c:spPr>
    </c:plotArea>
    <c:legend>
      <c:legendPos val="r"/>
      <c:layout>
        <c:manualLayout>
          <c:xMode val="edge"/>
          <c:yMode val="edge"/>
          <c:x val="0.77831062211956448"/>
          <c:y val="0.46361185983827491"/>
          <c:w val="0.2121215425038977"/>
          <c:h val="0.23989218328840969"/>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417442956789245"/>
          <c:y val="7.8167115902964962E-2"/>
          <c:w val="0.41441502207533032"/>
          <c:h val="0.58490566037735847"/>
        </c:manualLayout>
      </c:layout>
      <c:barChart>
        <c:barDir val="col"/>
        <c:grouping val="clustered"/>
        <c:varyColors val="0"/>
        <c:ser>
          <c:idx val="1"/>
          <c:order val="0"/>
          <c:tx>
            <c:strRef>
              <c:f>'3Dwt'!$AQ$54</c:f>
              <c:strCache>
                <c:ptCount val="1"/>
                <c:pt idx="0">
                  <c:v>Frequency</c:v>
                </c:pt>
              </c:strCache>
            </c:strRef>
          </c:tx>
          <c:spPr>
            <a:solidFill>
              <a:srgbClr val="9999FF"/>
            </a:solidFill>
            <a:ln w="12700">
              <a:solidFill>
                <a:srgbClr val="000000"/>
              </a:solidFill>
              <a:prstDash val="solid"/>
            </a:ln>
          </c:spPr>
          <c:invertIfNegative val="0"/>
          <c:cat>
            <c:numRef>
              <c:f>'3Dwt'!$AP$55:$AP$67</c:f>
              <c:numCache>
                <c:formatCode>0.00E+00</c:formatCode>
                <c:ptCount val="13"/>
                <c:pt idx="0">
                  <c:v>8.4327125861425291E-11</c:v>
                </c:pt>
                <c:pt idx="1">
                  <c:v>3.3080555962161102</c:v>
                </c:pt>
                <c:pt idx="2">
                  <c:v>6.6161111923478932</c:v>
                </c:pt>
                <c:pt idx="3">
                  <c:v>9.9241667884796758</c:v>
                </c:pt>
                <c:pt idx="4">
                  <c:v>13.232222384611459</c:v>
                </c:pt>
                <c:pt idx="5">
                  <c:v>16.540277980743241</c:v>
                </c:pt>
                <c:pt idx="6">
                  <c:v>19.848333576875024</c:v>
                </c:pt>
                <c:pt idx="7">
                  <c:v>23.156389173006808</c:v>
                </c:pt>
                <c:pt idx="8">
                  <c:v>26.464444769138591</c:v>
                </c:pt>
                <c:pt idx="9">
                  <c:v>29.772500365270375</c:v>
                </c:pt>
                <c:pt idx="10">
                  <c:v>33.080555961402155</c:v>
                </c:pt>
                <c:pt idx="11">
                  <c:v>36.388611557533935</c:v>
                </c:pt>
                <c:pt idx="12">
                  <c:v>39.696667153665715</c:v>
                </c:pt>
              </c:numCache>
            </c:numRef>
          </c:cat>
          <c:val>
            <c:numRef>
              <c:f>'3Dwt'!$AQ$55:$AQ$67</c:f>
              <c:numCache>
                <c:formatCode>General</c:formatCode>
                <c:ptCount val="13"/>
                <c:pt idx="0">
                  <c:v>1</c:v>
                </c:pt>
                <c:pt idx="1">
                  <c:v>3</c:v>
                </c:pt>
                <c:pt idx="2">
                  <c:v>2</c:v>
                </c:pt>
                <c:pt idx="3">
                  <c:v>7</c:v>
                </c:pt>
                <c:pt idx="4">
                  <c:v>16</c:v>
                </c:pt>
                <c:pt idx="5">
                  <c:v>19</c:v>
                </c:pt>
                <c:pt idx="6">
                  <c:v>28</c:v>
                </c:pt>
                <c:pt idx="7">
                  <c:v>38</c:v>
                </c:pt>
                <c:pt idx="8">
                  <c:v>35</c:v>
                </c:pt>
                <c:pt idx="9">
                  <c:v>24</c:v>
                </c:pt>
                <c:pt idx="10">
                  <c:v>14</c:v>
                </c:pt>
                <c:pt idx="11">
                  <c:v>8</c:v>
                </c:pt>
                <c:pt idx="12">
                  <c:v>4</c:v>
                </c:pt>
              </c:numCache>
            </c:numRef>
          </c:val>
        </c:ser>
        <c:dLbls>
          <c:showLegendKey val="0"/>
          <c:showVal val="0"/>
          <c:showCatName val="0"/>
          <c:showSerName val="0"/>
          <c:showPercent val="0"/>
          <c:showBubbleSize val="0"/>
        </c:dLbls>
        <c:gapWidth val="20"/>
        <c:axId val="44965248"/>
        <c:axId val="44983808"/>
      </c:barChart>
      <c:lineChart>
        <c:grouping val="standard"/>
        <c:varyColors val="0"/>
        <c:ser>
          <c:idx val="0"/>
          <c:order val="1"/>
          <c:tx>
            <c:strRef>
              <c:f>'3Dwt'!$AU$54</c:f>
              <c:strCache>
                <c:ptCount val="1"/>
                <c:pt idx="0">
                  <c:v>Cummul. Prob.</c:v>
                </c:pt>
              </c:strCache>
            </c:strRef>
          </c:tx>
          <c:spPr>
            <a:ln w="38100">
              <a:solidFill>
                <a:srgbClr val="000080"/>
              </a:solidFill>
              <a:prstDash val="solid"/>
            </a:ln>
          </c:spPr>
          <c:marker>
            <c:symbol val="none"/>
          </c:marker>
          <c:cat>
            <c:numRef>
              <c:f>'3Dwt'!$AT$55:$AT$67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'3Dwt'!$AU$55:$AU$67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44985728"/>
        <c:axId val="44987520"/>
      </c:lineChart>
      <c:catAx>
        <c:axId val="44965248"/>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Concentration</a:t>
                </a:r>
              </a:p>
            </c:rich>
          </c:tx>
          <c:layout>
            <c:manualLayout>
              <c:xMode val="edge"/>
              <c:yMode val="edge"/>
              <c:x val="0.29579622952478285"/>
              <c:y val="0.88409703504043125"/>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2700000" vert="horz"/>
          <a:lstStyle/>
          <a:p>
            <a:pPr>
              <a:defRPr sz="1200" b="1" i="0" u="none" strike="noStrike" baseline="0">
                <a:solidFill>
                  <a:srgbClr val="000000"/>
                </a:solidFill>
                <a:latin typeface="Arial"/>
                <a:ea typeface="Arial"/>
                <a:cs typeface="Arial"/>
              </a:defRPr>
            </a:pPr>
            <a:endParaRPr lang="en-US"/>
          </a:p>
        </c:txPr>
        <c:crossAx val="44983808"/>
        <c:crosses val="autoZero"/>
        <c:auto val="1"/>
        <c:lblAlgn val="ctr"/>
        <c:lblOffset val="100"/>
        <c:tickLblSkip val="2"/>
        <c:tickMarkSkip val="1"/>
        <c:noMultiLvlLbl val="0"/>
      </c:catAx>
      <c:valAx>
        <c:axId val="44983808"/>
        <c:scaling>
          <c:orientation val="minMax"/>
          <c:min val="0"/>
        </c:scaling>
        <c:delete val="0"/>
        <c:axPos val="l"/>
        <c:title>
          <c:tx>
            <c:rich>
              <a:bodyPr/>
              <a:lstStyle/>
              <a:p>
                <a:pPr>
                  <a:defRPr sz="1200" b="1" i="0" u="none" strike="noStrike" baseline="0">
                    <a:solidFill>
                      <a:srgbClr val="000000"/>
                    </a:solidFill>
                    <a:latin typeface="Arial"/>
                    <a:ea typeface="Arial"/>
                    <a:cs typeface="Arial"/>
                  </a:defRPr>
                </a:pPr>
                <a:r>
                  <a:rPr lang="en-US"/>
                  <a:t>Frequency</a:t>
                </a:r>
              </a:p>
            </c:rich>
          </c:tx>
          <c:layout>
            <c:manualLayout>
              <c:xMode val="edge"/>
              <c:yMode val="edge"/>
              <c:x val="3.9039096282458656E-2"/>
              <c:y val="0.25876010781671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965248"/>
        <c:crosses val="autoZero"/>
        <c:crossBetween val="between"/>
      </c:valAx>
      <c:catAx>
        <c:axId val="44985728"/>
        <c:scaling>
          <c:orientation val="minMax"/>
        </c:scaling>
        <c:delete val="1"/>
        <c:axPos val="b"/>
        <c:numFmt formatCode="0.00" sourceLinked="1"/>
        <c:majorTickMark val="out"/>
        <c:minorTickMark val="none"/>
        <c:tickLblPos val="nextTo"/>
        <c:crossAx val="44987520"/>
        <c:crosses val="autoZero"/>
        <c:auto val="1"/>
        <c:lblAlgn val="ctr"/>
        <c:lblOffset val="100"/>
        <c:noMultiLvlLbl val="0"/>
      </c:catAx>
      <c:valAx>
        <c:axId val="44987520"/>
        <c:scaling>
          <c:orientation val="minMax"/>
        </c:scaling>
        <c:delete val="0"/>
        <c:axPos val="r"/>
        <c:title>
          <c:tx>
            <c:rich>
              <a:bodyPr/>
              <a:lstStyle/>
              <a:p>
                <a:pPr>
                  <a:defRPr sz="1200" b="1" i="0" u="none" strike="noStrike" baseline="0">
                    <a:solidFill>
                      <a:srgbClr val="000000"/>
                    </a:solidFill>
                    <a:latin typeface="Arial"/>
                    <a:ea typeface="Arial"/>
                    <a:cs typeface="Arial"/>
                  </a:defRPr>
                </a:pPr>
                <a:r>
                  <a:rPr lang="en-US"/>
                  <a:t>Probability of exceeding</a:t>
                </a:r>
              </a:p>
            </c:rich>
          </c:tx>
          <c:layout>
            <c:manualLayout>
              <c:xMode val="edge"/>
              <c:yMode val="edge"/>
              <c:x val="0.71021125160011322"/>
              <c:y val="0.1132075471698113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985728"/>
        <c:crosses val="max"/>
        <c:crossBetween val="between"/>
      </c:valAx>
      <c:spPr>
        <a:solidFill>
          <a:srgbClr val="FFFFFF"/>
        </a:solidFill>
        <a:ln w="25400">
          <a:noFill/>
        </a:ln>
      </c:spPr>
    </c:plotArea>
    <c:legend>
      <c:legendPos val="r"/>
      <c:layout>
        <c:manualLayout>
          <c:xMode val="edge"/>
          <c:yMode val="edge"/>
          <c:x val="0.78678794046185907"/>
          <c:y val="0.45013477088948789"/>
          <c:w val="0.19969999252180773"/>
          <c:h val="0.23989218328840969"/>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0</xdr:rowOff>
    </xdr:from>
    <xdr:to>
      <xdr:col>25</xdr:col>
      <xdr:colOff>590550</xdr:colOff>
      <xdr:row>299</xdr:row>
      <xdr:rowOff>47624</xdr:rowOff>
    </xdr:to>
    <xdr:sp macro="" textlink="">
      <xdr:nvSpPr>
        <xdr:cNvPr id="14" name="Rectangle 13"/>
        <xdr:cNvSpPr/>
      </xdr:nvSpPr>
      <xdr:spPr bwMode="auto">
        <a:xfrm>
          <a:off x="9525" y="0"/>
          <a:ext cx="15821025" cy="48463199"/>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xdr:col>
      <xdr:colOff>561974</xdr:colOff>
      <xdr:row>1</xdr:row>
      <xdr:rowOff>85725</xdr:rowOff>
    </xdr:from>
    <xdr:to>
      <xdr:col>12</xdr:col>
      <xdr:colOff>19049</xdr:colOff>
      <xdr:row>21</xdr:row>
      <xdr:rowOff>84817</xdr:rowOff>
    </xdr:to>
    <xdr:pic>
      <xdr:nvPicPr>
        <xdr:cNvPr id="5" name="Picture 4"/>
        <xdr:cNvPicPr>
          <a:picLocks noChangeAspect="1"/>
        </xdr:cNvPicPr>
      </xdr:nvPicPr>
      <xdr:blipFill>
        <a:blip xmlns:r="http://schemas.openxmlformats.org/officeDocument/2006/relationships" r:embed="rId1"/>
        <a:stretch>
          <a:fillRect/>
        </a:stretch>
      </xdr:blipFill>
      <xdr:spPr>
        <a:xfrm>
          <a:off x="1171574" y="247650"/>
          <a:ext cx="6162675" cy="3237592"/>
        </a:xfrm>
        <a:prstGeom prst="rect">
          <a:avLst/>
        </a:prstGeom>
      </xdr:spPr>
    </xdr:pic>
    <xdr:clientData/>
  </xdr:twoCellAnchor>
  <xdr:twoCellAnchor>
    <xdr:from>
      <xdr:col>0</xdr:col>
      <xdr:colOff>323850</xdr:colOff>
      <xdr:row>23</xdr:row>
      <xdr:rowOff>76201</xdr:rowOff>
    </xdr:from>
    <xdr:to>
      <xdr:col>11</xdr:col>
      <xdr:colOff>95250</xdr:colOff>
      <xdr:row>34</xdr:row>
      <xdr:rowOff>142876</xdr:rowOff>
    </xdr:to>
    <xdr:sp macro="" textlink="">
      <xdr:nvSpPr>
        <xdr:cNvPr id="6" name="TextBox 5"/>
        <xdr:cNvSpPr txBox="1"/>
      </xdr:nvSpPr>
      <xdr:spPr>
        <a:xfrm>
          <a:off x="323850" y="3800476"/>
          <a:ext cx="6477000" cy="1847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Introduction</a:t>
          </a:r>
        </a:p>
        <a:p>
          <a:r>
            <a:rPr lang="en-US" sz="1100"/>
            <a:t>This spreadsheet calculates a 3D groundwater contaminant plume using the Domenico</a:t>
          </a:r>
          <a:r>
            <a:rPr lang="en-US" sz="1100" baseline="0"/>
            <a:t> solution.  Sheet 3Dwt solves and displays one slice through the plume at a time, for depth 'd' specified in the input.  Users can also input +/- values, representing 1 standard deviation, for the following parameters:</a:t>
          </a:r>
        </a:p>
        <a:p>
          <a:endParaRPr lang="en-US" sz="1100"/>
        </a:p>
        <a:p>
          <a:r>
            <a:rPr lang="en-US" sz="1100" i="1"/>
            <a:t>Co, ax, ay, az, v</a:t>
          </a:r>
        </a:p>
        <a:p>
          <a:endParaRPr lang="en-US" sz="1100" i="1"/>
        </a:p>
        <a:p>
          <a:r>
            <a:rPr lang="en-US" sz="1100" i="0"/>
            <a:t>where the paremeters are defined in the input box in 3Dwt (Figure 1).  These uncertainties are used in a series of simulations (number specified by the user)  from which the statistical properties of  concentrations at 4 locations in the plume can be examined.</a:t>
          </a:r>
        </a:p>
        <a:p>
          <a:endParaRPr lang="en-US" sz="1100" i="0"/>
        </a:p>
      </xdr:txBody>
    </xdr:sp>
    <xdr:clientData/>
  </xdr:twoCellAnchor>
  <xdr:twoCellAnchor>
    <xdr:from>
      <xdr:col>0</xdr:col>
      <xdr:colOff>304800</xdr:colOff>
      <xdr:row>38</xdr:row>
      <xdr:rowOff>9525</xdr:rowOff>
    </xdr:from>
    <xdr:to>
      <xdr:col>11</xdr:col>
      <xdr:colOff>76200</xdr:colOff>
      <xdr:row>47</xdr:row>
      <xdr:rowOff>38100</xdr:rowOff>
    </xdr:to>
    <xdr:sp macro="" textlink="">
      <xdr:nvSpPr>
        <xdr:cNvPr id="7" name="TextBox 6"/>
        <xdr:cNvSpPr txBox="1"/>
      </xdr:nvSpPr>
      <xdr:spPr>
        <a:xfrm>
          <a:off x="304800" y="6162675"/>
          <a:ext cx="6477000" cy="148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 Getting started</a:t>
          </a:r>
        </a:p>
        <a:p>
          <a:r>
            <a:rPr lang="en-US" sz="1100"/>
            <a:t>In</a:t>
          </a:r>
          <a:r>
            <a:rPr lang="en-US" sz="1100" baseline="0"/>
            <a:t> column C  in the input area (Figure 1) the values for each parameter are typed in.  In column D type in the values of the  estimated standard deviations on the parameters.  Other input can be adjusted when the input form appears during the execution of the program.  Input is only required in the cells colored white.  Blue cells are either autocalculated or informational and should not be changed.</a:t>
          </a:r>
        </a:p>
        <a:p>
          <a:endParaRPr lang="en-US" sz="1100" baseline="0"/>
        </a:p>
        <a:p>
          <a:r>
            <a:rPr lang="en-US" sz="1100" baseline="0"/>
            <a:t>To start the Monte Carlo program, click on the button labelled "Start"  located above the input area (Figure 1).</a:t>
          </a:r>
          <a:endParaRPr lang="en-US" sz="1100"/>
        </a:p>
      </xdr:txBody>
    </xdr:sp>
    <xdr:clientData/>
  </xdr:twoCellAnchor>
  <xdr:twoCellAnchor>
    <xdr:from>
      <xdr:col>0</xdr:col>
      <xdr:colOff>352425</xdr:colOff>
      <xdr:row>56</xdr:row>
      <xdr:rowOff>28575</xdr:rowOff>
    </xdr:from>
    <xdr:to>
      <xdr:col>11</xdr:col>
      <xdr:colOff>123825</xdr:colOff>
      <xdr:row>64</xdr:row>
      <xdr:rowOff>66675</xdr:rowOff>
    </xdr:to>
    <xdr:sp macro="" textlink="">
      <xdr:nvSpPr>
        <xdr:cNvPr id="12" name="TextBox 11"/>
        <xdr:cNvSpPr txBox="1"/>
      </xdr:nvSpPr>
      <xdr:spPr>
        <a:xfrm>
          <a:off x="352425" y="9096375"/>
          <a:ext cx="6477000" cy="133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3.</a:t>
          </a:r>
          <a:r>
            <a:rPr lang="en-US" sz="1100" baseline="0"/>
            <a:t>  Executing the program</a:t>
          </a:r>
        </a:p>
        <a:p>
          <a:r>
            <a:rPr lang="en-US" sz="1100"/>
            <a:t>Immediately after clicking on "Start" the input form appears (Figure 2).  This gives</a:t>
          </a:r>
          <a:r>
            <a:rPr lang="en-US" sz="1100" baseline="0"/>
            <a:t> the user the opportunity to alter any input, including  Monte Carlow parameter values, uncertainties, and the nature of the probability distributions.  If a lognormal distribution is selected for a parameter, the standard deviation entered should be in log units.  There is also a box to revise the number of Monte Carlo simulations that can be run.  For instruction purposes the default is 200.  Click "OK" to continue.</a:t>
          </a:r>
          <a:endParaRPr lang="en-US" sz="1100"/>
        </a:p>
      </xdr:txBody>
    </xdr:sp>
    <xdr:clientData/>
  </xdr:twoCellAnchor>
  <xdr:twoCellAnchor editAs="oneCell">
    <xdr:from>
      <xdr:col>11</xdr:col>
      <xdr:colOff>409575</xdr:colOff>
      <xdr:row>52</xdr:row>
      <xdr:rowOff>142875</xdr:rowOff>
    </xdr:from>
    <xdr:to>
      <xdr:col>17</xdr:col>
      <xdr:colOff>494832</xdr:colOff>
      <xdr:row>70</xdr:row>
      <xdr:rowOff>9178</xdr:rowOff>
    </xdr:to>
    <xdr:pic>
      <xdr:nvPicPr>
        <xdr:cNvPr id="13" name="Picture 12"/>
        <xdr:cNvPicPr>
          <a:picLocks noChangeAspect="1"/>
        </xdr:cNvPicPr>
      </xdr:nvPicPr>
      <xdr:blipFill>
        <a:blip xmlns:r="http://schemas.openxmlformats.org/officeDocument/2006/relationships" r:embed="rId2"/>
        <a:stretch>
          <a:fillRect/>
        </a:stretch>
      </xdr:blipFill>
      <xdr:spPr>
        <a:xfrm>
          <a:off x="7115175" y="8562975"/>
          <a:ext cx="3742857" cy="2780953"/>
        </a:xfrm>
        <a:prstGeom prst="rect">
          <a:avLst/>
        </a:prstGeom>
      </xdr:spPr>
    </xdr:pic>
    <xdr:clientData/>
  </xdr:twoCellAnchor>
  <xdr:twoCellAnchor>
    <xdr:from>
      <xdr:col>0</xdr:col>
      <xdr:colOff>342900</xdr:colOff>
      <xdr:row>81</xdr:row>
      <xdr:rowOff>76200</xdr:rowOff>
    </xdr:from>
    <xdr:to>
      <xdr:col>11</xdr:col>
      <xdr:colOff>114300</xdr:colOff>
      <xdr:row>86</xdr:row>
      <xdr:rowOff>104775</xdr:rowOff>
    </xdr:to>
    <xdr:sp macro="" textlink="">
      <xdr:nvSpPr>
        <xdr:cNvPr id="17" name="TextBox 16"/>
        <xdr:cNvSpPr txBox="1"/>
      </xdr:nvSpPr>
      <xdr:spPr>
        <a:xfrm>
          <a:off x="342900" y="13192125"/>
          <a:ext cx="6477000"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After</a:t>
          </a:r>
          <a:r>
            <a:rPr lang="en-US" sz="1100" baseline="0"/>
            <a:t> clicking "OK" on the input form, a second form appears in which users can specify four locations in plume for which concentration statistics are desired (Figure 3).  By default all locations are set to 1, 1, so the user need only change the value for as many locations as are required, i.e., 4 locations need not be specified if only one, two, or three  location are required.  When the location coordinates (in metres) are entered, click "OK".</a:t>
          </a:r>
          <a:endParaRPr lang="en-US" sz="1100"/>
        </a:p>
      </xdr:txBody>
    </xdr:sp>
    <xdr:clientData/>
  </xdr:twoCellAnchor>
  <xdr:twoCellAnchor editAs="oneCell">
    <xdr:from>
      <xdr:col>12</xdr:col>
      <xdr:colOff>0</xdr:colOff>
      <xdr:row>75</xdr:row>
      <xdr:rowOff>0</xdr:rowOff>
    </xdr:from>
    <xdr:to>
      <xdr:col>15</xdr:col>
      <xdr:colOff>142629</xdr:colOff>
      <xdr:row>95</xdr:row>
      <xdr:rowOff>85310</xdr:rowOff>
    </xdr:to>
    <xdr:pic>
      <xdr:nvPicPr>
        <xdr:cNvPr id="18" name="Picture 17"/>
        <xdr:cNvPicPr>
          <a:picLocks noChangeAspect="1"/>
        </xdr:cNvPicPr>
      </xdr:nvPicPr>
      <xdr:blipFill>
        <a:blip xmlns:r="http://schemas.openxmlformats.org/officeDocument/2006/relationships" r:embed="rId3"/>
        <a:stretch>
          <a:fillRect/>
        </a:stretch>
      </xdr:blipFill>
      <xdr:spPr>
        <a:xfrm>
          <a:off x="7315200" y="12144375"/>
          <a:ext cx="1971429" cy="3323810"/>
        </a:xfrm>
        <a:prstGeom prst="rect">
          <a:avLst/>
        </a:prstGeom>
      </xdr:spPr>
    </xdr:pic>
    <xdr:clientData/>
  </xdr:twoCellAnchor>
  <xdr:twoCellAnchor>
    <xdr:from>
      <xdr:col>0</xdr:col>
      <xdr:colOff>333375</xdr:colOff>
      <xdr:row>103</xdr:row>
      <xdr:rowOff>57150</xdr:rowOff>
    </xdr:from>
    <xdr:to>
      <xdr:col>11</xdr:col>
      <xdr:colOff>104775</xdr:colOff>
      <xdr:row>108</xdr:row>
      <xdr:rowOff>85725</xdr:rowOff>
    </xdr:to>
    <xdr:sp macro="" textlink="">
      <xdr:nvSpPr>
        <xdr:cNvPr id="19" name="TextBox 18"/>
        <xdr:cNvSpPr txBox="1"/>
      </xdr:nvSpPr>
      <xdr:spPr>
        <a:xfrm>
          <a:off x="333375" y="16735425"/>
          <a:ext cx="6477000"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While the program is running users can track the number of simulations remaining</a:t>
          </a:r>
          <a:r>
            <a:rPr lang="en-US" sz="1100" baseline="0"/>
            <a:t> by watching the count down cell at F3 (Figure 4).</a:t>
          </a:r>
          <a:endParaRPr lang="en-US" sz="1100"/>
        </a:p>
      </xdr:txBody>
    </xdr:sp>
    <xdr:clientData/>
  </xdr:twoCellAnchor>
  <xdr:twoCellAnchor editAs="oneCell">
    <xdr:from>
      <xdr:col>12</xdr:col>
      <xdr:colOff>0</xdr:colOff>
      <xdr:row>103</xdr:row>
      <xdr:rowOff>0</xdr:rowOff>
    </xdr:from>
    <xdr:to>
      <xdr:col>21</xdr:col>
      <xdr:colOff>399315</xdr:colOff>
      <xdr:row>109</xdr:row>
      <xdr:rowOff>76069</xdr:rowOff>
    </xdr:to>
    <xdr:pic>
      <xdr:nvPicPr>
        <xdr:cNvPr id="20" name="Picture 19"/>
        <xdr:cNvPicPr>
          <a:picLocks noChangeAspect="1"/>
        </xdr:cNvPicPr>
      </xdr:nvPicPr>
      <xdr:blipFill>
        <a:blip xmlns:r="http://schemas.openxmlformats.org/officeDocument/2006/relationships" r:embed="rId4"/>
        <a:stretch>
          <a:fillRect/>
        </a:stretch>
      </xdr:blipFill>
      <xdr:spPr>
        <a:xfrm>
          <a:off x="7315200" y="16678275"/>
          <a:ext cx="5885715" cy="1047619"/>
        </a:xfrm>
        <a:prstGeom prst="rect">
          <a:avLst/>
        </a:prstGeom>
      </xdr:spPr>
    </xdr:pic>
    <xdr:clientData/>
  </xdr:twoCellAnchor>
  <xdr:twoCellAnchor editAs="oneCell">
    <xdr:from>
      <xdr:col>12</xdr:col>
      <xdr:colOff>0</xdr:colOff>
      <xdr:row>114</xdr:row>
      <xdr:rowOff>0</xdr:rowOff>
    </xdr:from>
    <xdr:to>
      <xdr:col>16</xdr:col>
      <xdr:colOff>456838</xdr:colOff>
      <xdr:row>123</xdr:row>
      <xdr:rowOff>133151</xdr:rowOff>
    </xdr:to>
    <xdr:pic>
      <xdr:nvPicPr>
        <xdr:cNvPr id="22" name="Picture 21"/>
        <xdr:cNvPicPr>
          <a:picLocks noChangeAspect="1"/>
        </xdr:cNvPicPr>
      </xdr:nvPicPr>
      <xdr:blipFill>
        <a:blip xmlns:r="http://schemas.openxmlformats.org/officeDocument/2006/relationships" r:embed="rId5"/>
        <a:stretch>
          <a:fillRect/>
        </a:stretch>
      </xdr:blipFill>
      <xdr:spPr>
        <a:xfrm>
          <a:off x="7315200" y="18459450"/>
          <a:ext cx="2895238" cy="1590476"/>
        </a:xfrm>
        <a:prstGeom prst="rect">
          <a:avLst/>
        </a:prstGeom>
      </xdr:spPr>
    </xdr:pic>
    <xdr:clientData/>
  </xdr:twoCellAnchor>
  <xdr:twoCellAnchor>
    <xdr:from>
      <xdr:col>11</xdr:col>
      <xdr:colOff>438150</xdr:colOff>
      <xdr:row>70</xdr:row>
      <xdr:rowOff>142876</xdr:rowOff>
    </xdr:from>
    <xdr:to>
      <xdr:col>15</xdr:col>
      <xdr:colOff>285750</xdr:colOff>
      <xdr:row>72</xdr:row>
      <xdr:rowOff>142876</xdr:rowOff>
    </xdr:to>
    <xdr:sp macro="" textlink="">
      <xdr:nvSpPr>
        <xdr:cNvPr id="23" name="TextBox 22"/>
        <xdr:cNvSpPr txBox="1"/>
      </xdr:nvSpPr>
      <xdr:spPr>
        <a:xfrm>
          <a:off x="7143750" y="11477626"/>
          <a:ext cx="228600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2:  The input form.</a:t>
          </a:r>
        </a:p>
      </xdr:txBody>
    </xdr:sp>
    <xdr:clientData/>
  </xdr:twoCellAnchor>
  <xdr:twoCellAnchor>
    <xdr:from>
      <xdr:col>11</xdr:col>
      <xdr:colOff>533400</xdr:colOff>
      <xdr:row>46</xdr:row>
      <xdr:rowOff>38101</xdr:rowOff>
    </xdr:from>
    <xdr:to>
      <xdr:col>14</xdr:col>
      <xdr:colOff>485775</xdr:colOff>
      <xdr:row>47</xdr:row>
      <xdr:rowOff>142876</xdr:rowOff>
    </xdr:to>
    <xdr:sp macro="" textlink="">
      <xdr:nvSpPr>
        <xdr:cNvPr id="24" name="TextBox 23"/>
        <xdr:cNvSpPr txBox="1"/>
      </xdr:nvSpPr>
      <xdr:spPr>
        <a:xfrm>
          <a:off x="7239000" y="7486651"/>
          <a:ext cx="17811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1:  The input area.</a:t>
          </a:r>
        </a:p>
      </xdr:txBody>
    </xdr:sp>
    <xdr:clientData/>
  </xdr:twoCellAnchor>
  <xdr:twoCellAnchor>
    <xdr:from>
      <xdr:col>11</xdr:col>
      <xdr:colOff>590549</xdr:colOff>
      <xdr:row>96</xdr:row>
      <xdr:rowOff>47625</xdr:rowOff>
    </xdr:from>
    <xdr:to>
      <xdr:col>16</xdr:col>
      <xdr:colOff>276224</xdr:colOff>
      <xdr:row>98</xdr:row>
      <xdr:rowOff>47625</xdr:rowOff>
    </xdr:to>
    <xdr:sp macro="" textlink="">
      <xdr:nvSpPr>
        <xdr:cNvPr id="25" name="TextBox 24"/>
        <xdr:cNvSpPr txBox="1"/>
      </xdr:nvSpPr>
      <xdr:spPr>
        <a:xfrm>
          <a:off x="7296149" y="15592425"/>
          <a:ext cx="273367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3:  The input form for locations.</a:t>
          </a:r>
        </a:p>
      </xdr:txBody>
    </xdr:sp>
    <xdr:clientData/>
  </xdr:twoCellAnchor>
  <xdr:twoCellAnchor>
    <xdr:from>
      <xdr:col>11</xdr:col>
      <xdr:colOff>581025</xdr:colOff>
      <xdr:row>110</xdr:row>
      <xdr:rowOff>85725</xdr:rowOff>
    </xdr:from>
    <xdr:to>
      <xdr:col>16</xdr:col>
      <xdr:colOff>266700</xdr:colOff>
      <xdr:row>112</xdr:row>
      <xdr:rowOff>85725</xdr:rowOff>
    </xdr:to>
    <xdr:sp macro="" textlink="">
      <xdr:nvSpPr>
        <xdr:cNvPr id="26" name="TextBox 25"/>
        <xdr:cNvSpPr txBox="1"/>
      </xdr:nvSpPr>
      <xdr:spPr>
        <a:xfrm>
          <a:off x="7286625" y="17897475"/>
          <a:ext cx="273367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4:  Counting down the simulations.</a:t>
          </a:r>
        </a:p>
      </xdr:txBody>
    </xdr:sp>
    <xdr:clientData/>
  </xdr:twoCellAnchor>
  <xdr:twoCellAnchor>
    <xdr:from>
      <xdr:col>12</xdr:col>
      <xdr:colOff>28575</xdr:colOff>
      <xdr:row>124</xdr:row>
      <xdr:rowOff>104775</xdr:rowOff>
    </xdr:from>
    <xdr:to>
      <xdr:col>16</xdr:col>
      <xdr:colOff>323850</xdr:colOff>
      <xdr:row>126</xdr:row>
      <xdr:rowOff>104775</xdr:rowOff>
    </xdr:to>
    <xdr:sp macro="" textlink="">
      <xdr:nvSpPr>
        <xdr:cNvPr id="27" name="TextBox 26"/>
        <xdr:cNvSpPr txBox="1"/>
      </xdr:nvSpPr>
      <xdr:spPr>
        <a:xfrm>
          <a:off x="7343775" y="20183475"/>
          <a:ext cx="273367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5:  Table of concentrations.</a:t>
          </a:r>
        </a:p>
      </xdr:txBody>
    </xdr:sp>
    <xdr:clientData/>
  </xdr:twoCellAnchor>
  <xdr:twoCellAnchor>
    <xdr:from>
      <xdr:col>0</xdr:col>
      <xdr:colOff>371475</xdr:colOff>
      <xdr:row>118</xdr:row>
      <xdr:rowOff>0</xdr:rowOff>
    </xdr:from>
    <xdr:to>
      <xdr:col>11</xdr:col>
      <xdr:colOff>142875</xdr:colOff>
      <xdr:row>123</xdr:row>
      <xdr:rowOff>28575</xdr:rowOff>
    </xdr:to>
    <xdr:sp macro="" textlink="">
      <xdr:nvSpPr>
        <xdr:cNvPr id="28" name="TextBox 27"/>
        <xdr:cNvSpPr txBox="1"/>
      </xdr:nvSpPr>
      <xdr:spPr>
        <a:xfrm>
          <a:off x="371475" y="19107150"/>
          <a:ext cx="6477000"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  After Execution of the</a:t>
          </a:r>
          <a:r>
            <a:rPr lang="en-US" sz="1100" baseline="0"/>
            <a:t> Program</a:t>
          </a:r>
        </a:p>
        <a:p>
          <a:r>
            <a:rPr lang="en-US" sz="1100" baseline="0"/>
            <a:t>When the program is finished executing a Table of Concentrations for each of the 4 specified locations and each simulation is visible in columns Y, Z, AA, and AB.  Four histograms are prepared from these columns of concentrations.</a:t>
          </a:r>
          <a:endParaRPr lang="en-US" sz="1100"/>
        </a:p>
      </xdr:txBody>
    </xdr:sp>
    <xdr:clientData/>
  </xdr:twoCellAnchor>
  <xdr:twoCellAnchor editAs="oneCell">
    <xdr:from>
      <xdr:col>11</xdr:col>
      <xdr:colOff>561975</xdr:colOff>
      <xdr:row>128</xdr:row>
      <xdr:rowOff>104775</xdr:rowOff>
    </xdr:from>
    <xdr:to>
      <xdr:col>20</xdr:col>
      <xdr:colOff>104147</xdr:colOff>
      <xdr:row>152</xdr:row>
      <xdr:rowOff>47147</xdr:rowOff>
    </xdr:to>
    <xdr:pic>
      <xdr:nvPicPr>
        <xdr:cNvPr id="30" name="Picture 29"/>
        <xdr:cNvPicPr>
          <a:picLocks noChangeAspect="1"/>
        </xdr:cNvPicPr>
      </xdr:nvPicPr>
      <xdr:blipFill>
        <a:blip xmlns:r="http://schemas.openxmlformats.org/officeDocument/2006/relationships" r:embed="rId6"/>
        <a:stretch>
          <a:fillRect/>
        </a:stretch>
      </xdr:blipFill>
      <xdr:spPr>
        <a:xfrm>
          <a:off x="7267575" y="20831175"/>
          <a:ext cx="5028572" cy="3828572"/>
        </a:xfrm>
        <a:prstGeom prst="rect">
          <a:avLst/>
        </a:prstGeom>
      </xdr:spPr>
    </xdr:pic>
    <xdr:clientData/>
  </xdr:twoCellAnchor>
  <xdr:twoCellAnchor>
    <xdr:from>
      <xdr:col>12</xdr:col>
      <xdr:colOff>381000</xdr:colOff>
      <xdr:row>153</xdr:row>
      <xdr:rowOff>104775</xdr:rowOff>
    </xdr:from>
    <xdr:to>
      <xdr:col>17</xdr:col>
      <xdr:colOff>66675</xdr:colOff>
      <xdr:row>155</xdr:row>
      <xdr:rowOff>104775</xdr:rowOff>
    </xdr:to>
    <xdr:sp macro="" textlink="">
      <xdr:nvSpPr>
        <xdr:cNvPr id="31" name="TextBox 30"/>
        <xdr:cNvSpPr txBox="1"/>
      </xdr:nvSpPr>
      <xdr:spPr>
        <a:xfrm>
          <a:off x="7696200" y="24879300"/>
          <a:ext cx="273367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6:  Histogram table.</a:t>
          </a:r>
        </a:p>
      </xdr:txBody>
    </xdr:sp>
    <xdr:clientData/>
  </xdr:twoCellAnchor>
  <xdr:twoCellAnchor>
    <xdr:from>
      <xdr:col>0</xdr:col>
      <xdr:colOff>371475</xdr:colOff>
      <xdr:row>128</xdr:row>
      <xdr:rowOff>85724</xdr:rowOff>
    </xdr:from>
    <xdr:to>
      <xdr:col>11</xdr:col>
      <xdr:colOff>142875</xdr:colOff>
      <xdr:row>157</xdr:row>
      <xdr:rowOff>28575</xdr:rowOff>
    </xdr:to>
    <xdr:sp macro="" textlink="">
      <xdr:nvSpPr>
        <xdr:cNvPr id="32" name="TextBox 31"/>
        <xdr:cNvSpPr txBox="1"/>
      </xdr:nvSpPr>
      <xdr:spPr>
        <a:xfrm>
          <a:off x="371475" y="20812124"/>
          <a:ext cx="6477000" cy="4638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 each location a histogram table is generated (Figure 6 is an example of one of these).</a:t>
          </a:r>
          <a:r>
            <a:rPr lang="en-US" sz="1100" baseline="0"/>
            <a:t>  The Bin Range is an evenly spaced series of  13 numbers ranging from the minum to the maximum of the concentrations in the 'Table of Concentrations' for that location.  This column of numbers is reproduced in the Histogram table under Bin.  It serves as the x-axis in the histogram.</a:t>
          </a:r>
        </a:p>
        <a:p>
          <a:endParaRPr lang="en-US" sz="1100" baseline="0"/>
        </a:p>
        <a:p>
          <a:r>
            <a:rPr lang="en-US" sz="1100" baseline="0"/>
            <a:t>The frequency column is a count of how many concentrations appear in the bin location (between the values on the corresponding row in the bin column, and the row below it).</a:t>
          </a:r>
        </a:p>
        <a:p>
          <a:endParaRPr lang="en-US" sz="1100" baseline="0"/>
        </a:p>
        <a:p>
          <a:r>
            <a:rPr lang="en-US" sz="1100" baseline="0"/>
            <a:t>The Wt. Mean is the weighted mean (</a:t>
          </a:r>
          <a:r>
            <a:rPr lang="en-US" sz="1100" i="1" baseline="0"/>
            <a:t>WM</a:t>
          </a:r>
          <a:r>
            <a:rPr lang="en-US" sz="1100" baseline="0"/>
            <a:t>), which is calculated from the equation:</a:t>
          </a:r>
        </a:p>
        <a:p>
          <a:r>
            <a:rPr lang="en-US" sz="1100" i="1" baseline="0"/>
            <a:t>WM</a:t>
          </a:r>
          <a:r>
            <a:rPr lang="en-US" sz="1100" baseline="0"/>
            <a:t> = </a:t>
          </a:r>
          <a:r>
            <a:rPr lang="en-US" sz="1100" i="1" baseline="0"/>
            <a:t>frequency * Bin</a:t>
          </a:r>
        </a:p>
        <a:p>
          <a:endParaRPr lang="en-US" sz="1100" i="0"/>
        </a:p>
        <a:p>
          <a:r>
            <a:rPr lang="en-US" sz="1100" i="0"/>
            <a:t>The Area (</a:t>
          </a:r>
          <a:r>
            <a:rPr lang="en-US" sz="1100" i="1"/>
            <a:t>A</a:t>
          </a:r>
          <a:r>
            <a:rPr lang="en-US" sz="1100" i="0"/>
            <a:t>) column of numbers is calculated from</a:t>
          </a:r>
        </a:p>
        <a:p>
          <a:r>
            <a:rPr lang="en-US" sz="1100" i="1"/>
            <a:t>A = frequency * Bin</a:t>
          </a:r>
          <a:r>
            <a:rPr lang="en-US" sz="1100" i="1" baseline="0"/>
            <a:t> Range increment</a:t>
          </a:r>
        </a:p>
        <a:p>
          <a:endParaRPr lang="en-US" sz="1100" i="1" baseline="0"/>
        </a:p>
        <a:p>
          <a:r>
            <a:rPr lang="en-US" sz="1100" i="0" baseline="0"/>
            <a:t>where the </a:t>
          </a:r>
          <a:r>
            <a:rPr lang="en-US" sz="1100" i="1" baseline="0"/>
            <a:t>Bin Range increment</a:t>
          </a:r>
          <a:r>
            <a:rPr lang="en-US" sz="1100" i="0" baseline="0"/>
            <a:t> is  the  difference between entries in the Bin column, and is determined from</a:t>
          </a:r>
        </a:p>
        <a:p>
          <a:r>
            <a:rPr lang="en-US" sz="1100" i="1" baseline="0"/>
            <a:t>Bin range increment = (maximum concentration - minimum concentration)/12</a:t>
          </a:r>
        </a:p>
        <a:p>
          <a:endParaRPr lang="en-US" sz="1100" i="0" baseline="0"/>
        </a:p>
        <a:p>
          <a:r>
            <a:rPr lang="en-US" sz="1100" i="0" baseline="0"/>
            <a:t>The Probability of a concentration in each Bin row is estimated from</a:t>
          </a:r>
        </a:p>
        <a:p>
          <a:r>
            <a:rPr lang="en-US" sz="1100" i="1" baseline="0"/>
            <a:t>P = A/AT</a:t>
          </a:r>
          <a:endParaRPr lang="en-US" sz="1100" i="0" baseline="0"/>
        </a:p>
        <a:p>
          <a:endParaRPr lang="en-US" sz="1100" i="0" baseline="0"/>
        </a:p>
        <a:p>
          <a:r>
            <a:rPr lang="en-US" sz="1100" i="0" baseline="0"/>
            <a:t>where </a:t>
          </a:r>
          <a:r>
            <a:rPr lang="en-US" sz="1100" i="1" baseline="0"/>
            <a:t>P</a:t>
          </a:r>
          <a:r>
            <a:rPr lang="en-US" sz="1100" i="0" baseline="0"/>
            <a:t> is probabiltiy, </a:t>
          </a:r>
          <a:r>
            <a:rPr lang="en-US" sz="1100" i="1" baseline="0"/>
            <a:t>A</a:t>
          </a:r>
          <a:r>
            <a:rPr lang="en-US" sz="1100" i="0" baseline="0"/>
            <a:t> is area and </a:t>
          </a:r>
          <a:r>
            <a:rPr lang="en-US" sz="1100" i="1" baseline="0"/>
            <a:t>AT</a:t>
          </a:r>
          <a:r>
            <a:rPr lang="en-US" sz="1100" i="0" baseline="0"/>
            <a:t> is total area, as shown in column AI, Figure 6.  The total probability must add to 1.0.  This is tested near the bottom of column AJ.</a:t>
          </a:r>
        </a:p>
        <a:p>
          <a:endParaRPr lang="en-US" sz="1100" i="0" baseline="0"/>
        </a:p>
        <a:p>
          <a:r>
            <a:rPr lang="en-US" sz="1100" i="0" baseline="0"/>
            <a:t>The cummulative probability is simply the sum of probabilities from the highest concentration in the Bin Range to the lowest concentration in the Bin Range.</a:t>
          </a:r>
          <a:endParaRPr lang="en-US" sz="1100" i="1"/>
        </a:p>
      </xdr:txBody>
    </xdr:sp>
    <xdr:clientData/>
  </xdr:twoCellAnchor>
  <xdr:twoCellAnchor>
    <xdr:from>
      <xdr:col>0</xdr:col>
      <xdr:colOff>381000</xdr:colOff>
      <xdr:row>160</xdr:row>
      <xdr:rowOff>28575</xdr:rowOff>
    </xdr:from>
    <xdr:to>
      <xdr:col>11</xdr:col>
      <xdr:colOff>152400</xdr:colOff>
      <xdr:row>170</xdr:row>
      <xdr:rowOff>66675</xdr:rowOff>
    </xdr:to>
    <xdr:sp macro="" textlink="">
      <xdr:nvSpPr>
        <xdr:cNvPr id="34" name="TextBox 33"/>
        <xdr:cNvSpPr txBox="1"/>
      </xdr:nvSpPr>
      <xdr:spPr>
        <a:xfrm>
          <a:off x="381000" y="25936575"/>
          <a:ext cx="6477000" cy="165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0"/>
            <a:t>The</a:t>
          </a:r>
          <a:r>
            <a:rPr lang="en-US" sz="1100" i="0" baseline="0"/>
            <a:t> data from the Histogram Table is plotted graphically as a combination of a histogram and cummulative probability line (Figure 7).  The Bars in the histogram represent counts of concentration values from the simulations, and provide a visual for assessing the probability density function (i.e., normal distribution, log normal distribution, etc.) .  The Y-axis froms from the cummulative probability column in the Histogram Table, e.g., column AK in Figure 6.   </a:t>
          </a:r>
        </a:p>
        <a:p>
          <a:endParaRPr lang="en-US" sz="1100" i="0" baseline="0"/>
        </a:p>
        <a:p>
          <a:r>
            <a:rPr lang="en-US" sz="1100" i="0" baseline="0"/>
            <a:t>The cummulative probability line is drawn with labels taken from the Probability data in the Histogram Table, e.g., column AJ in Figure 6.</a:t>
          </a:r>
          <a:endParaRPr lang="en-US" sz="1100" i="0"/>
        </a:p>
      </xdr:txBody>
    </xdr:sp>
    <xdr:clientData/>
  </xdr:twoCellAnchor>
  <xdr:twoCellAnchor>
    <xdr:from>
      <xdr:col>12</xdr:col>
      <xdr:colOff>390525</xdr:colOff>
      <xdr:row>184</xdr:row>
      <xdr:rowOff>38100</xdr:rowOff>
    </xdr:from>
    <xdr:to>
      <xdr:col>17</xdr:col>
      <xdr:colOff>76200</xdr:colOff>
      <xdr:row>186</xdr:row>
      <xdr:rowOff>38100</xdr:rowOff>
    </xdr:to>
    <xdr:sp macro="" textlink="">
      <xdr:nvSpPr>
        <xdr:cNvPr id="35" name="TextBox 34"/>
        <xdr:cNvSpPr txBox="1"/>
      </xdr:nvSpPr>
      <xdr:spPr>
        <a:xfrm>
          <a:off x="7705725" y="29832300"/>
          <a:ext cx="273367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7:  Example of a histogram.</a:t>
          </a:r>
        </a:p>
      </xdr:txBody>
    </xdr:sp>
    <xdr:clientData/>
  </xdr:twoCellAnchor>
  <xdr:twoCellAnchor editAs="oneCell">
    <xdr:from>
      <xdr:col>11</xdr:col>
      <xdr:colOff>276225</xdr:colOff>
      <xdr:row>24</xdr:row>
      <xdr:rowOff>38100</xdr:rowOff>
    </xdr:from>
    <xdr:to>
      <xdr:col>21</xdr:col>
      <xdr:colOff>46892</xdr:colOff>
      <xdr:row>45</xdr:row>
      <xdr:rowOff>94818</xdr:rowOff>
    </xdr:to>
    <xdr:pic>
      <xdr:nvPicPr>
        <xdr:cNvPr id="36" name="Picture 35"/>
        <xdr:cNvPicPr>
          <a:picLocks noChangeAspect="1"/>
        </xdr:cNvPicPr>
      </xdr:nvPicPr>
      <xdr:blipFill>
        <a:blip xmlns:r="http://schemas.openxmlformats.org/officeDocument/2006/relationships" r:embed="rId7"/>
        <a:stretch>
          <a:fillRect/>
        </a:stretch>
      </xdr:blipFill>
      <xdr:spPr>
        <a:xfrm>
          <a:off x="6981825" y="3924300"/>
          <a:ext cx="5866667" cy="3457143"/>
        </a:xfrm>
        <a:prstGeom prst="rect">
          <a:avLst/>
        </a:prstGeom>
      </xdr:spPr>
    </xdr:pic>
    <xdr:clientData/>
  </xdr:twoCellAnchor>
  <xdr:twoCellAnchor>
    <xdr:from>
      <xdr:col>13</xdr:col>
      <xdr:colOff>190500</xdr:colOff>
      <xdr:row>3</xdr:row>
      <xdr:rowOff>85725</xdr:rowOff>
    </xdr:from>
    <xdr:to>
      <xdr:col>20</xdr:col>
      <xdr:colOff>314325</xdr:colOff>
      <xdr:row>17</xdr:row>
      <xdr:rowOff>38100</xdr:rowOff>
    </xdr:to>
    <xdr:sp macro="" textlink="">
      <xdr:nvSpPr>
        <xdr:cNvPr id="2" name="TextBox 1"/>
        <xdr:cNvSpPr txBox="1"/>
      </xdr:nvSpPr>
      <xdr:spPr>
        <a:xfrm>
          <a:off x="8115300" y="571500"/>
          <a:ext cx="4391025" cy="2219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Quick Start</a:t>
          </a:r>
        </a:p>
        <a:p>
          <a:endParaRPr lang="en-US" sz="1800"/>
        </a:p>
        <a:p>
          <a:pPr marL="0" marR="0" indent="0" defTabSz="914400" eaLnBrk="1" fontAlgn="auto" latinLnBrk="0" hangingPunct="1">
            <a:lnSpc>
              <a:spcPct val="100000"/>
            </a:lnSpc>
            <a:spcBef>
              <a:spcPts val="0"/>
            </a:spcBef>
            <a:spcAft>
              <a:spcPts val="0"/>
            </a:spcAft>
            <a:buClrTx/>
            <a:buSzTx/>
            <a:buFontTx/>
            <a:buNone/>
            <a:tabLst/>
            <a:defRPr/>
          </a:pPr>
          <a:r>
            <a:rPr lang="en-US" sz="1800" b="1">
              <a:solidFill>
                <a:schemeClr val="dk1"/>
              </a:solidFill>
              <a:effectLst/>
              <a:latin typeface="+mn-lt"/>
              <a:ea typeface="+mn-ea"/>
              <a:cs typeface="+mn-cs"/>
            </a:rPr>
            <a:t>a.</a:t>
          </a:r>
          <a:r>
            <a:rPr lang="en-US" sz="1800" b="1" baseline="0">
              <a:solidFill>
                <a:schemeClr val="dk1"/>
              </a:solidFill>
              <a:effectLst/>
              <a:latin typeface="+mn-lt"/>
              <a:ea typeface="+mn-ea"/>
              <a:cs typeface="+mn-cs"/>
            </a:rPr>
            <a:t>  Click </a:t>
          </a:r>
          <a:r>
            <a:rPr lang="en-US" sz="1800" b="1">
              <a:solidFill>
                <a:schemeClr val="dk1"/>
              </a:solidFill>
              <a:effectLst/>
              <a:latin typeface="+mn-lt"/>
              <a:ea typeface="+mn-ea"/>
              <a:cs typeface="+mn-cs"/>
            </a:rPr>
            <a:t>on the tab below</a:t>
          </a:r>
          <a:r>
            <a:rPr lang="en-US" sz="1800" b="1" baseline="0">
              <a:solidFill>
                <a:schemeClr val="dk1"/>
              </a:solidFill>
              <a:effectLst/>
              <a:latin typeface="+mn-lt"/>
              <a:ea typeface="+mn-ea"/>
              <a:cs typeface="+mn-cs"/>
            </a:rPr>
            <a:t> labelled 3Dwt </a:t>
          </a:r>
        </a:p>
        <a:p>
          <a:pPr marL="0" marR="0" indent="0" defTabSz="914400" eaLnBrk="1" fontAlgn="auto" latinLnBrk="0" hangingPunct="1">
            <a:lnSpc>
              <a:spcPct val="100000"/>
            </a:lnSpc>
            <a:spcBef>
              <a:spcPts val="0"/>
            </a:spcBef>
            <a:spcAft>
              <a:spcPts val="0"/>
            </a:spcAft>
            <a:buClrTx/>
            <a:buSzTx/>
            <a:buFontTx/>
            <a:buNone/>
            <a:tabLst/>
            <a:defRPr/>
          </a:pPr>
          <a:r>
            <a:rPr lang="en-US" sz="1800" b="1" baseline="0">
              <a:solidFill>
                <a:schemeClr val="dk1"/>
              </a:solidFill>
              <a:effectLst/>
              <a:latin typeface="+mn-lt"/>
              <a:ea typeface="+mn-ea"/>
              <a:cs typeface="+mn-cs"/>
            </a:rPr>
            <a:t>b.  Click on the button labelled "Start" </a:t>
          </a:r>
        </a:p>
        <a:p>
          <a:pPr marL="0" marR="0" indent="0" defTabSz="914400" eaLnBrk="1" fontAlgn="auto" latinLnBrk="0" hangingPunct="1">
            <a:lnSpc>
              <a:spcPct val="100000"/>
            </a:lnSpc>
            <a:spcBef>
              <a:spcPts val="0"/>
            </a:spcBef>
            <a:spcAft>
              <a:spcPts val="0"/>
            </a:spcAft>
            <a:buClrTx/>
            <a:buSzTx/>
            <a:buFontTx/>
            <a:buNone/>
            <a:tabLst/>
            <a:defRPr/>
          </a:pPr>
          <a:r>
            <a:rPr lang="en-US" sz="1800" b="1" baseline="0">
              <a:solidFill>
                <a:schemeClr val="dk1"/>
              </a:solidFill>
              <a:effectLst/>
              <a:latin typeface="+mn-lt"/>
              <a:ea typeface="+mn-ea"/>
              <a:cs typeface="+mn-cs"/>
            </a:rPr>
            <a:t>      (see Figure 1)</a:t>
          </a:r>
          <a:endParaRPr lang="en-US" sz="1800">
            <a:effectLst/>
          </a:endParaRPr>
        </a:p>
        <a:p>
          <a:endParaRPr lang="en-US" sz="1100"/>
        </a:p>
        <a:p>
          <a:r>
            <a:rPr lang="en-US" sz="1100"/>
            <a:t>For more information and instructions on running</a:t>
          </a:r>
          <a:r>
            <a:rPr lang="en-US" sz="1100" baseline="0"/>
            <a:t> this program, see the sections below.</a:t>
          </a:r>
          <a:endParaRPr lang="en-US" sz="1100"/>
        </a:p>
      </xdr:txBody>
    </xdr:sp>
    <xdr:clientData/>
  </xdr:twoCellAnchor>
  <xdr:twoCellAnchor editAs="oneCell">
    <xdr:from>
      <xdr:col>12</xdr:col>
      <xdr:colOff>47625</xdr:colOff>
      <xdr:row>161</xdr:row>
      <xdr:rowOff>66675</xdr:rowOff>
    </xdr:from>
    <xdr:to>
      <xdr:col>21</xdr:col>
      <xdr:colOff>483443</xdr:colOff>
      <xdr:row>183</xdr:row>
      <xdr:rowOff>123459</xdr:rowOff>
    </xdr:to>
    <xdr:pic>
      <xdr:nvPicPr>
        <xdr:cNvPr id="3" name="Picture 2"/>
        <xdr:cNvPicPr>
          <a:picLocks noChangeAspect="1"/>
        </xdr:cNvPicPr>
      </xdr:nvPicPr>
      <xdr:blipFill>
        <a:blip xmlns:r="http://schemas.openxmlformats.org/officeDocument/2006/relationships" r:embed="rId8"/>
        <a:stretch>
          <a:fillRect/>
        </a:stretch>
      </xdr:blipFill>
      <xdr:spPr>
        <a:xfrm>
          <a:off x="7362825" y="26136600"/>
          <a:ext cx="5922218" cy="36191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257175</xdr:colOff>
      <xdr:row>2</xdr:row>
      <xdr:rowOff>73819</xdr:rowOff>
    </xdr:from>
    <xdr:to>
      <xdr:col>15</xdr:col>
      <xdr:colOff>335756</xdr:colOff>
      <xdr:row>30</xdr:row>
      <xdr:rowOff>16670</xdr:rowOff>
    </xdr:to>
    <xdr:graphicFrame macro="">
      <xdr:nvGraphicFramePr>
        <xdr:cNvPr id="205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676274</xdr:colOff>
      <xdr:row>16</xdr:row>
      <xdr:rowOff>47625</xdr:rowOff>
    </xdr:from>
    <xdr:to>
      <xdr:col>20</xdr:col>
      <xdr:colOff>278606</xdr:colOff>
      <xdr:row>29</xdr:row>
      <xdr:rowOff>57150</xdr:rowOff>
    </xdr:to>
    <xdr:graphicFrame macro="">
      <xdr:nvGraphicFramePr>
        <xdr:cNvPr id="205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676274</xdr:colOff>
      <xdr:row>3</xdr:row>
      <xdr:rowOff>66675</xdr:rowOff>
    </xdr:from>
    <xdr:to>
      <xdr:col>20</xdr:col>
      <xdr:colOff>278606</xdr:colOff>
      <xdr:row>16</xdr:row>
      <xdr:rowOff>47625</xdr:rowOff>
    </xdr:to>
    <xdr:graphicFrame macro="">
      <xdr:nvGraphicFramePr>
        <xdr:cNvPr id="205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447675</xdr:colOff>
          <xdr:row>1</xdr:row>
          <xdr:rowOff>19050</xdr:rowOff>
        </xdr:from>
        <xdr:to>
          <xdr:col>3</xdr:col>
          <xdr:colOff>514350</xdr:colOff>
          <xdr:row>2</xdr:row>
          <xdr:rowOff>180975</xdr:rowOff>
        </xdr:to>
        <xdr:sp macro="" textlink="">
          <xdr:nvSpPr>
            <xdr:cNvPr id="2056" name="Start"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xdr:twoCellAnchor>
    <xdr:from>
      <xdr:col>28</xdr:col>
      <xdr:colOff>133350</xdr:colOff>
      <xdr:row>27</xdr:row>
      <xdr:rowOff>95250</xdr:rowOff>
    </xdr:from>
    <xdr:to>
      <xdr:col>36</xdr:col>
      <xdr:colOff>695325</xdr:colOff>
      <xdr:row>49</xdr:row>
      <xdr:rowOff>57150</xdr:rowOff>
    </xdr:to>
    <xdr:graphicFrame macro="">
      <xdr:nvGraphicFramePr>
        <xdr:cNvPr id="2058"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28575</xdr:colOff>
      <xdr:row>27</xdr:row>
      <xdr:rowOff>104775</xdr:rowOff>
    </xdr:from>
    <xdr:to>
      <xdr:col>47</xdr:col>
      <xdr:colOff>266700</xdr:colOff>
      <xdr:row>49</xdr:row>
      <xdr:rowOff>76200</xdr:rowOff>
    </xdr:to>
    <xdr:graphicFrame macro="">
      <xdr:nvGraphicFramePr>
        <xdr:cNvPr id="206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152400</xdr:colOff>
      <xdr:row>76</xdr:row>
      <xdr:rowOff>95250</xdr:rowOff>
    </xdr:from>
    <xdr:to>
      <xdr:col>36</xdr:col>
      <xdr:colOff>714375</xdr:colOff>
      <xdr:row>98</xdr:row>
      <xdr:rowOff>66675</xdr:rowOff>
    </xdr:to>
    <xdr:graphicFrame macro="">
      <xdr:nvGraphicFramePr>
        <xdr:cNvPr id="206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76200</xdr:colOff>
      <xdr:row>76</xdr:row>
      <xdr:rowOff>76200</xdr:rowOff>
    </xdr:from>
    <xdr:to>
      <xdr:col>47</xdr:col>
      <xdr:colOff>314325</xdr:colOff>
      <xdr:row>98</xdr:row>
      <xdr:rowOff>47625</xdr:rowOff>
    </xdr:to>
    <xdr:graphicFrame macro="">
      <xdr:nvGraphicFramePr>
        <xdr:cNvPr id="206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9.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M50:M125"/>
  <sheetViews>
    <sheetView tabSelected="1" workbookViewId="0">
      <selection activeCell="A32" sqref="A32"/>
    </sheetView>
  </sheetViews>
  <sheetFormatPr defaultRowHeight="12.75" x14ac:dyDescent="0.2"/>
  <sheetData>
    <row r="50" spans="13:13" x14ac:dyDescent="0.2">
      <c r="M50" s="36"/>
    </row>
    <row r="72" spans="13:13" x14ac:dyDescent="0.2">
      <c r="M72" s="36"/>
    </row>
    <row r="97" spans="13:13" x14ac:dyDescent="0.2">
      <c r="M97" s="36"/>
    </row>
    <row r="111" spans="13:13" x14ac:dyDescent="0.2">
      <c r="M111" s="36"/>
    </row>
    <row r="125" spans="13:13" x14ac:dyDescent="0.2">
      <c r="M125" s="36"/>
    </row>
  </sheetData>
  <sheetProtection password="A09D"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A201"/>
  <sheetViews>
    <sheetView zoomScale="80" zoomScaleNormal="80" workbookViewId="0"/>
  </sheetViews>
  <sheetFormatPr defaultRowHeight="12.75" x14ac:dyDescent="0.2"/>
  <cols>
    <col min="1" max="1" width="27.5703125" customWidth="1"/>
    <col min="2" max="2" width="18.42578125" customWidth="1"/>
    <col min="3" max="3" width="13" bestFit="1" customWidth="1"/>
    <col min="4" max="4" width="14.140625" bestFit="1" customWidth="1"/>
    <col min="5" max="5" width="17.7109375" customWidth="1"/>
    <col min="6" max="6" width="14.28515625" customWidth="1"/>
    <col min="7" max="13" width="12.42578125" bestFit="1" customWidth="1"/>
    <col min="14" max="16" width="13.85546875" bestFit="1" customWidth="1"/>
    <col min="17" max="17" width="9.85546875" customWidth="1"/>
    <col min="18" max="23" width="13.85546875" bestFit="1" customWidth="1"/>
    <col min="24" max="24" width="12.5703125" customWidth="1"/>
    <col min="25" max="25" width="11.42578125" style="11" customWidth="1"/>
    <col min="26" max="28" width="9.85546875" style="11" bestFit="1" customWidth="1"/>
    <col min="29" max="29" width="12.28515625" bestFit="1" customWidth="1"/>
    <col min="30" max="30" width="9.85546875" style="7" bestFit="1" customWidth="1"/>
    <col min="31" max="31" width="8.85546875" style="7" customWidth="1"/>
    <col min="32" max="32" width="12.42578125" style="7" bestFit="1" customWidth="1"/>
    <col min="33" max="33" width="9.140625" style="7" bestFit="1"/>
    <col min="34" max="34" width="9" style="7" bestFit="1" customWidth="1"/>
    <col min="35" max="35" width="10.5703125" style="7" customWidth="1"/>
    <col min="36" max="36" width="9" style="7" bestFit="1" customWidth="1"/>
    <col min="37" max="37" width="13" style="7" customWidth="1"/>
    <col min="39" max="39" width="11.28515625" customWidth="1"/>
    <col min="40" max="40" width="9.85546875" bestFit="1" customWidth="1"/>
    <col min="42" max="42" width="9.85546875" bestFit="1" customWidth="1"/>
    <col min="43" max="43" width="12.28515625" customWidth="1"/>
    <col min="45" max="45" width="11.7109375" customWidth="1"/>
  </cols>
  <sheetData>
    <row r="1" spans="1:53" x14ac:dyDescent="0.2">
      <c r="F1" s="24"/>
      <c r="W1" s="40" t="s">
        <v>50</v>
      </c>
      <c r="X1" s="41"/>
      <c r="Y1" s="27" t="s">
        <v>60</v>
      </c>
      <c r="Z1" s="27" t="s">
        <v>59</v>
      </c>
      <c r="AA1" s="27" t="s">
        <v>59</v>
      </c>
      <c r="AB1" s="28" t="s">
        <v>59</v>
      </c>
      <c r="AZ1" s="29">
        <v>7.5116009483318172E-7</v>
      </c>
      <c r="BA1" s="29" t="s">
        <v>40</v>
      </c>
    </row>
    <row r="2" spans="1:53" x14ac:dyDescent="0.2">
      <c r="E2" s="12" t="s">
        <v>49</v>
      </c>
      <c r="F2" s="13"/>
      <c r="AZ2" s="30" t="s">
        <v>38</v>
      </c>
      <c r="BA2" s="21">
        <v>0</v>
      </c>
    </row>
    <row r="3" spans="1:53" ht="16.5" thickBot="1" x14ac:dyDescent="0.3">
      <c r="E3" s="14"/>
      <c r="F3" s="15">
        <v>1</v>
      </c>
      <c r="AC3" s="42" t="s">
        <v>52</v>
      </c>
      <c r="AD3" s="42"/>
      <c r="AF3" s="20" t="s">
        <v>51</v>
      </c>
      <c r="AH3" s="25" t="str">
        <f>Y1</f>
        <v xml:space="preserve"> 10,  0</v>
      </c>
      <c r="AM3" s="42" t="s">
        <v>52</v>
      </c>
      <c r="AN3" s="42"/>
      <c r="AO3" s="7"/>
      <c r="AP3" s="20" t="s">
        <v>51</v>
      </c>
      <c r="AQ3" s="7"/>
      <c r="AR3" s="25" t="str">
        <f>Z1</f>
        <v xml:space="preserve"> 1,  1</v>
      </c>
      <c r="AS3" s="7"/>
      <c r="AT3" s="7"/>
      <c r="AU3" s="7"/>
      <c r="AZ3" s="22" t="s">
        <v>39</v>
      </c>
      <c r="BA3" s="22">
        <v>10</v>
      </c>
    </row>
    <row r="4" spans="1:53" ht="13.5" thickBot="1" x14ac:dyDescent="0.25">
      <c r="AD4" s="19" t="s">
        <v>48</v>
      </c>
      <c r="AF4" s="29" t="s">
        <v>38</v>
      </c>
      <c r="AG4" s="29" t="s">
        <v>40</v>
      </c>
      <c r="AH4" s="19" t="s">
        <v>46</v>
      </c>
      <c r="AI4" s="19" t="s">
        <v>42</v>
      </c>
      <c r="AJ4" s="19" t="s">
        <v>41</v>
      </c>
      <c r="AK4" s="19" t="s">
        <v>47</v>
      </c>
      <c r="AN4" s="19" t="s">
        <v>48</v>
      </c>
      <c r="AO4" s="7"/>
      <c r="AP4" s="29" t="s">
        <v>38</v>
      </c>
      <c r="AQ4" s="29" t="s">
        <v>40</v>
      </c>
      <c r="AR4" s="19" t="s">
        <v>46</v>
      </c>
      <c r="AS4" s="19" t="s">
        <v>42</v>
      </c>
      <c r="AT4" s="19" t="s">
        <v>41</v>
      </c>
      <c r="AU4" s="19" t="s">
        <v>47</v>
      </c>
    </row>
    <row r="5" spans="1:53" ht="14.25" thickTop="1" thickBot="1" x14ac:dyDescent="0.25">
      <c r="A5" s="5" t="s">
        <v>30</v>
      </c>
      <c r="B5" s="6" t="s">
        <v>31</v>
      </c>
      <c r="C5" s="6" t="s">
        <v>32</v>
      </c>
      <c r="D5" s="10" t="s">
        <v>37</v>
      </c>
      <c r="E5" s="9" t="s">
        <v>33</v>
      </c>
      <c r="F5" s="10" t="s">
        <v>56</v>
      </c>
      <c r="AD5" s="11">
        <f>AG23</f>
        <v>0</v>
      </c>
      <c r="AF5" s="26">
        <v>2.9779638822863593E-11</v>
      </c>
      <c r="AG5" s="21">
        <v>1</v>
      </c>
      <c r="AH5" s="7">
        <f>AG5*AF5</f>
        <v>2.9779638822863593E-11</v>
      </c>
      <c r="AI5" s="7">
        <f t="shared" ref="AI5:AI17" si="0">AG5*AG$25/12</f>
        <v>0</v>
      </c>
      <c r="AJ5" s="7" t="e">
        <f t="shared" ref="AJ5:AJ17" si="1">AI5/AI$20</f>
        <v>#DIV/0!</v>
      </c>
      <c r="AK5" s="23" t="e">
        <f t="shared" ref="AK5:AK15" si="2">AJ5+AK6</f>
        <v>#DIV/0!</v>
      </c>
      <c r="AN5" s="11">
        <f>AQ23</f>
        <v>0</v>
      </c>
      <c r="AO5" s="7"/>
      <c r="AP5" s="26">
        <v>8.4327125861425291E-11</v>
      </c>
      <c r="AQ5" s="21">
        <v>1</v>
      </c>
      <c r="AR5" s="7">
        <f>AQ5*AP5</f>
        <v>8.4327125861425291E-11</v>
      </c>
      <c r="AS5" s="7">
        <f>AQ5*AQ$25/12</f>
        <v>0</v>
      </c>
      <c r="AT5" s="7" t="e">
        <f t="shared" ref="AT5:AT17" si="3">AS5/AS$20</f>
        <v>#DIV/0!</v>
      </c>
      <c r="AU5" s="23" t="e">
        <f t="shared" ref="AU5:AU15" si="4">AT5+AU6</f>
        <v>#DIV/0!</v>
      </c>
    </row>
    <row r="6" spans="1:53" ht="14.25" thickTop="1" thickBot="1" x14ac:dyDescent="0.25">
      <c r="A6" s="31" t="s">
        <v>79</v>
      </c>
      <c r="B6" s="31" t="s">
        <v>2</v>
      </c>
      <c r="C6">
        <v>24.802135936032801</v>
      </c>
      <c r="D6">
        <v>10</v>
      </c>
      <c r="E6" s="31" t="s">
        <v>55</v>
      </c>
      <c r="F6" s="33" t="s">
        <v>57</v>
      </c>
      <c r="AD6" s="11">
        <f t="shared" ref="AD6:AD17" si="5">AD5+AG$25/12</f>
        <v>0</v>
      </c>
      <c r="AF6" s="26">
        <v>1.1682207813314343</v>
      </c>
      <c r="AG6" s="21">
        <v>3</v>
      </c>
      <c r="AH6" s="7">
        <f t="shared" ref="AH6:AH17" si="6">AG6*AF6</f>
        <v>3.504662343994303</v>
      </c>
      <c r="AI6" s="7">
        <f t="shared" si="0"/>
        <v>0</v>
      </c>
      <c r="AJ6" s="7" t="e">
        <f t="shared" si="1"/>
        <v>#DIV/0!</v>
      </c>
      <c r="AK6" s="23" t="e">
        <f t="shared" si="2"/>
        <v>#DIV/0!</v>
      </c>
      <c r="AN6" s="11">
        <f t="shared" ref="AN6:AN17" si="7">AN5+AQ$25/12</f>
        <v>0</v>
      </c>
      <c r="AO6" s="7"/>
      <c r="AP6" s="26">
        <v>3.3080555962161102</v>
      </c>
      <c r="AQ6" s="21">
        <v>3</v>
      </c>
      <c r="AR6" s="7">
        <f t="shared" ref="AR6:AR17" si="8">AQ6*AP6</f>
        <v>9.9241667886483302</v>
      </c>
      <c r="AS6" s="7">
        <f t="shared" ref="AS6:AS17" si="9">AQ6*AQ$25/12</f>
        <v>0</v>
      </c>
      <c r="AT6" s="7" t="e">
        <f t="shared" si="3"/>
        <v>#DIV/0!</v>
      </c>
      <c r="AU6" s="23" t="e">
        <f t="shared" si="4"/>
        <v>#DIV/0!</v>
      </c>
    </row>
    <row r="7" spans="1:53" ht="14.25" thickTop="1" thickBot="1" x14ac:dyDescent="0.25">
      <c r="A7" s="32" t="s">
        <v>65</v>
      </c>
      <c r="B7" s="32" t="s">
        <v>3</v>
      </c>
      <c r="C7">
        <v>1</v>
      </c>
      <c r="D7">
        <v>0</v>
      </c>
      <c r="E7" s="32" t="s">
        <v>1</v>
      </c>
      <c r="F7" s="34" t="s">
        <v>57</v>
      </c>
      <c r="AD7" s="11">
        <f t="shared" si="5"/>
        <v>0</v>
      </c>
      <c r="AF7" s="26">
        <v>2.3364415626330888</v>
      </c>
      <c r="AG7" s="21">
        <v>2</v>
      </c>
      <c r="AH7" s="7">
        <f t="shared" si="6"/>
        <v>4.6728831252661776</v>
      </c>
      <c r="AI7" s="7">
        <f t="shared" si="0"/>
        <v>0</v>
      </c>
      <c r="AJ7" s="7" t="e">
        <f t="shared" si="1"/>
        <v>#DIV/0!</v>
      </c>
      <c r="AK7" s="23" t="e">
        <f t="shared" si="2"/>
        <v>#DIV/0!</v>
      </c>
      <c r="AN7" s="11">
        <f t="shared" si="7"/>
        <v>0</v>
      </c>
      <c r="AO7" s="7"/>
      <c r="AP7" s="26">
        <v>6.6161111923478932</v>
      </c>
      <c r="AQ7" s="21">
        <v>2</v>
      </c>
      <c r="AR7" s="7">
        <f t="shared" si="8"/>
        <v>13.232222384695786</v>
      </c>
      <c r="AS7" s="7">
        <f t="shared" si="9"/>
        <v>0</v>
      </c>
      <c r="AT7" s="7" t="e">
        <f t="shared" si="3"/>
        <v>#DIV/0!</v>
      </c>
      <c r="AU7" s="23" t="e">
        <f t="shared" si="4"/>
        <v>#DIV/0!</v>
      </c>
    </row>
    <row r="8" spans="1:53" ht="14.25" thickTop="1" thickBot="1" x14ac:dyDescent="0.25">
      <c r="A8" s="32" t="s">
        <v>66</v>
      </c>
      <c r="B8" s="32" t="s">
        <v>4</v>
      </c>
      <c r="C8">
        <v>0.1</v>
      </c>
      <c r="D8">
        <v>0</v>
      </c>
      <c r="E8" s="32" t="s">
        <v>1</v>
      </c>
      <c r="F8" s="34" t="s">
        <v>57</v>
      </c>
      <c r="AD8" s="11">
        <f t="shared" si="5"/>
        <v>0</v>
      </c>
      <c r="AF8" s="26">
        <v>3.5046623439347435</v>
      </c>
      <c r="AG8" s="21">
        <v>7</v>
      </c>
      <c r="AH8" s="7">
        <f t="shared" si="6"/>
        <v>24.532636407543205</v>
      </c>
      <c r="AI8" s="7">
        <f t="shared" si="0"/>
        <v>0</v>
      </c>
      <c r="AJ8" s="7" t="e">
        <f t="shared" si="1"/>
        <v>#DIV/0!</v>
      </c>
      <c r="AK8" s="23" t="e">
        <f t="shared" si="2"/>
        <v>#DIV/0!</v>
      </c>
      <c r="AN8" s="11">
        <f t="shared" si="7"/>
        <v>0</v>
      </c>
      <c r="AO8" s="7"/>
      <c r="AP8" s="26">
        <v>9.9241667884796758</v>
      </c>
      <c r="AQ8" s="21">
        <v>7</v>
      </c>
      <c r="AR8" s="7">
        <f t="shared" si="8"/>
        <v>69.469167519357725</v>
      </c>
      <c r="AS8" s="7">
        <f t="shared" si="9"/>
        <v>0</v>
      </c>
      <c r="AT8" s="7" t="e">
        <f t="shared" si="3"/>
        <v>#DIV/0!</v>
      </c>
      <c r="AU8" s="23" t="e">
        <f t="shared" si="4"/>
        <v>#DIV/0!</v>
      </c>
    </row>
    <row r="9" spans="1:53" ht="14.25" thickTop="1" thickBot="1" x14ac:dyDescent="0.25">
      <c r="A9" s="32" t="s">
        <v>67</v>
      </c>
      <c r="B9" s="32" t="s">
        <v>5</v>
      </c>
      <c r="C9">
        <v>0.01</v>
      </c>
      <c r="D9">
        <v>0</v>
      </c>
      <c r="E9" s="32" t="s">
        <v>1</v>
      </c>
      <c r="F9" s="34" t="s">
        <v>57</v>
      </c>
      <c r="AC9" s="7"/>
      <c r="AD9" s="11">
        <f t="shared" si="5"/>
        <v>0</v>
      </c>
      <c r="AF9" s="26">
        <v>4.6728831252363978</v>
      </c>
      <c r="AG9" s="21">
        <v>16</v>
      </c>
      <c r="AH9" s="7">
        <f t="shared" si="6"/>
        <v>74.766130003782365</v>
      </c>
      <c r="AI9" s="7">
        <f t="shared" si="0"/>
        <v>0</v>
      </c>
      <c r="AJ9" s="7" t="e">
        <f t="shared" si="1"/>
        <v>#DIV/0!</v>
      </c>
      <c r="AK9" s="23" t="e">
        <f t="shared" si="2"/>
        <v>#DIV/0!</v>
      </c>
      <c r="AM9" s="7"/>
      <c r="AN9" s="11">
        <f t="shared" si="7"/>
        <v>0</v>
      </c>
      <c r="AO9" s="7"/>
      <c r="AP9" s="26">
        <v>13.232222384611459</v>
      </c>
      <c r="AQ9" s="21">
        <v>16</v>
      </c>
      <c r="AR9" s="7">
        <f t="shared" si="8"/>
        <v>211.71555815378335</v>
      </c>
      <c r="AS9" s="7">
        <f t="shared" si="9"/>
        <v>0</v>
      </c>
      <c r="AT9" s="7" t="e">
        <f t="shared" si="3"/>
        <v>#DIV/0!</v>
      </c>
      <c r="AU9" s="23" t="e">
        <f t="shared" si="4"/>
        <v>#DIV/0!</v>
      </c>
    </row>
    <row r="10" spans="1:53" ht="14.25" thickTop="1" thickBot="1" x14ac:dyDescent="0.25">
      <c r="A10" s="32" t="s">
        <v>69</v>
      </c>
      <c r="B10" s="32" t="s">
        <v>8</v>
      </c>
      <c r="C10">
        <v>0.1</v>
      </c>
      <c r="D10">
        <v>0</v>
      </c>
      <c r="E10" s="32" t="s">
        <v>7</v>
      </c>
      <c r="F10" s="34" t="s">
        <v>57</v>
      </c>
      <c r="AD10" s="11">
        <f t="shared" si="5"/>
        <v>0</v>
      </c>
      <c r="AF10" s="26">
        <v>5.8411039065380521</v>
      </c>
      <c r="AG10" s="21">
        <v>19</v>
      </c>
      <c r="AH10" s="7">
        <f t="shared" si="6"/>
        <v>110.98097422422299</v>
      </c>
      <c r="AI10" s="7">
        <f t="shared" si="0"/>
        <v>0</v>
      </c>
      <c r="AJ10" s="7" t="e">
        <f t="shared" si="1"/>
        <v>#DIV/0!</v>
      </c>
      <c r="AK10" s="23" t="e">
        <f t="shared" si="2"/>
        <v>#DIV/0!</v>
      </c>
      <c r="AN10" s="11">
        <f t="shared" si="7"/>
        <v>0</v>
      </c>
      <c r="AO10" s="7"/>
      <c r="AP10" s="26">
        <v>16.540277980743241</v>
      </c>
      <c r="AQ10" s="21">
        <v>19</v>
      </c>
      <c r="AR10" s="7">
        <f t="shared" si="8"/>
        <v>314.26528163412161</v>
      </c>
      <c r="AS10" s="7">
        <f t="shared" si="9"/>
        <v>0</v>
      </c>
      <c r="AT10" s="7" t="e">
        <f t="shared" si="3"/>
        <v>#DIV/0!</v>
      </c>
      <c r="AU10" s="23" t="e">
        <f t="shared" si="4"/>
        <v>#DIV/0!</v>
      </c>
    </row>
    <row r="11" spans="1:53" ht="14.25" thickTop="1" thickBot="1" x14ac:dyDescent="0.25">
      <c r="A11" s="32" t="s">
        <v>68</v>
      </c>
      <c r="B11" s="32" t="s">
        <v>6</v>
      </c>
      <c r="C11">
        <v>1</v>
      </c>
      <c r="D11" s="32"/>
      <c r="E11" s="32"/>
      <c r="F11" s="34"/>
      <c r="AD11" s="11">
        <f t="shared" si="5"/>
        <v>0</v>
      </c>
      <c r="AF11" s="26">
        <v>7.0093246878397064</v>
      </c>
      <c r="AG11" s="21">
        <v>28</v>
      </c>
      <c r="AH11" s="7">
        <f t="shared" si="6"/>
        <v>196.26109125951177</v>
      </c>
      <c r="AI11" s="7">
        <f t="shared" si="0"/>
        <v>0</v>
      </c>
      <c r="AJ11" s="7" t="e">
        <f t="shared" si="1"/>
        <v>#DIV/0!</v>
      </c>
      <c r="AK11" s="23" t="e">
        <f t="shared" si="2"/>
        <v>#DIV/0!</v>
      </c>
      <c r="AN11" s="11">
        <f t="shared" si="7"/>
        <v>0</v>
      </c>
      <c r="AO11" s="7"/>
      <c r="AP11" s="26">
        <v>19.848333576875024</v>
      </c>
      <c r="AQ11" s="21">
        <v>28</v>
      </c>
      <c r="AR11" s="7">
        <f t="shared" si="8"/>
        <v>555.75334015250064</v>
      </c>
      <c r="AS11" s="7">
        <f t="shared" si="9"/>
        <v>0</v>
      </c>
      <c r="AT11" s="7" t="e">
        <f t="shared" si="3"/>
        <v>#DIV/0!</v>
      </c>
      <c r="AU11" s="23" t="e">
        <f t="shared" si="4"/>
        <v>#DIV/0!</v>
      </c>
    </row>
    <row r="12" spans="1:53" ht="14.25" thickTop="1" thickBot="1" x14ac:dyDescent="0.25">
      <c r="A12" s="32" t="s">
        <v>70</v>
      </c>
      <c r="B12" s="32" t="s">
        <v>10</v>
      </c>
      <c r="C12" s="11">
        <v>6.9299999999999996E-11</v>
      </c>
      <c r="D12" s="32"/>
      <c r="E12" s="32" t="s">
        <v>11</v>
      </c>
      <c r="F12" s="34"/>
      <c r="AD12" s="11">
        <f t="shared" si="5"/>
        <v>0</v>
      </c>
      <c r="AF12" s="26">
        <v>8.1775454691413607</v>
      </c>
      <c r="AG12" s="21">
        <v>38</v>
      </c>
      <c r="AH12" s="7">
        <f t="shared" si="6"/>
        <v>310.74672782737173</v>
      </c>
      <c r="AI12" s="7">
        <f t="shared" si="0"/>
        <v>0</v>
      </c>
      <c r="AJ12" s="7" t="e">
        <f t="shared" si="1"/>
        <v>#DIV/0!</v>
      </c>
      <c r="AK12" s="23" t="e">
        <f t="shared" si="2"/>
        <v>#DIV/0!</v>
      </c>
      <c r="AN12" s="11">
        <f t="shared" si="7"/>
        <v>0</v>
      </c>
      <c r="AO12" s="7"/>
      <c r="AP12" s="26">
        <v>23.156389173006808</v>
      </c>
      <c r="AQ12" s="21">
        <v>38</v>
      </c>
      <c r="AR12" s="7">
        <f t="shared" si="8"/>
        <v>879.94278857425866</v>
      </c>
      <c r="AS12" s="7">
        <f t="shared" si="9"/>
        <v>0</v>
      </c>
      <c r="AT12" s="7" t="e">
        <f t="shared" si="3"/>
        <v>#DIV/0!</v>
      </c>
      <c r="AU12" s="23" t="e">
        <f t="shared" si="4"/>
        <v>#DIV/0!</v>
      </c>
    </row>
    <row r="13" spans="1:53" ht="14.25" thickTop="1" thickBot="1" x14ac:dyDescent="0.25">
      <c r="A13" s="32"/>
      <c r="B13" s="32" t="s">
        <v>14</v>
      </c>
      <c r="C13">
        <v>0.25</v>
      </c>
      <c r="D13" s="32"/>
      <c r="E13" s="32" t="s">
        <v>15</v>
      </c>
      <c r="F13" s="34"/>
      <c r="AD13" s="11">
        <f t="shared" si="5"/>
        <v>0</v>
      </c>
      <c r="AF13" s="26">
        <v>9.345766250443015</v>
      </c>
      <c r="AG13" s="21">
        <v>35</v>
      </c>
      <c r="AH13" s="7">
        <f t="shared" si="6"/>
        <v>327.10181876550553</v>
      </c>
      <c r="AI13" s="7">
        <f t="shared" si="0"/>
        <v>0</v>
      </c>
      <c r="AJ13" s="7" t="e">
        <f t="shared" si="1"/>
        <v>#DIV/0!</v>
      </c>
      <c r="AK13" s="23" t="e">
        <f t="shared" si="2"/>
        <v>#DIV/0!</v>
      </c>
      <c r="AN13" s="11">
        <f t="shared" si="7"/>
        <v>0</v>
      </c>
      <c r="AO13" s="7"/>
      <c r="AP13" s="26">
        <v>26.464444769138591</v>
      </c>
      <c r="AQ13" s="21">
        <v>35</v>
      </c>
      <c r="AR13" s="7">
        <f t="shared" si="8"/>
        <v>926.25556691985071</v>
      </c>
      <c r="AS13" s="7">
        <f t="shared" si="9"/>
        <v>0</v>
      </c>
      <c r="AT13" s="7" t="e">
        <f t="shared" si="3"/>
        <v>#DIV/0!</v>
      </c>
      <c r="AU13" s="23" t="e">
        <f t="shared" si="4"/>
        <v>#DIV/0!</v>
      </c>
    </row>
    <row r="14" spans="1:53" ht="14.25" thickTop="1" thickBot="1" x14ac:dyDescent="0.25">
      <c r="A14" s="32" t="s">
        <v>71</v>
      </c>
      <c r="B14" s="32" t="s">
        <v>17</v>
      </c>
      <c r="C14">
        <v>1</v>
      </c>
      <c r="D14" s="32"/>
      <c r="E14" s="32" t="s">
        <v>1</v>
      </c>
      <c r="F14" s="34"/>
      <c r="AD14" s="11">
        <f t="shared" si="5"/>
        <v>0</v>
      </c>
      <c r="AF14" s="26">
        <v>10.513987031744669</v>
      </c>
      <c r="AG14" s="21">
        <v>24</v>
      </c>
      <c r="AH14" s="7">
        <f t="shared" si="6"/>
        <v>252.33568876187206</v>
      </c>
      <c r="AI14" s="7">
        <f t="shared" si="0"/>
        <v>0</v>
      </c>
      <c r="AJ14" s="7" t="e">
        <f t="shared" si="1"/>
        <v>#DIV/0!</v>
      </c>
      <c r="AK14" s="23" t="e">
        <f t="shared" si="2"/>
        <v>#DIV/0!</v>
      </c>
      <c r="AN14" s="11">
        <f t="shared" si="7"/>
        <v>0</v>
      </c>
      <c r="AO14" s="7"/>
      <c r="AP14" s="26">
        <v>29.772500365270375</v>
      </c>
      <c r="AQ14" s="21">
        <v>24</v>
      </c>
      <c r="AR14" s="7">
        <f t="shared" si="8"/>
        <v>714.540008766489</v>
      </c>
      <c r="AS14" s="7">
        <f t="shared" si="9"/>
        <v>0</v>
      </c>
      <c r="AT14" s="7" t="e">
        <f t="shared" si="3"/>
        <v>#DIV/0!</v>
      </c>
      <c r="AU14" s="23" t="e">
        <f t="shared" si="4"/>
        <v>#DIV/0!</v>
      </c>
    </row>
    <row r="15" spans="1:53" ht="14.25" thickTop="1" thickBot="1" x14ac:dyDescent="0.25">
      <c r="A15" s="32" t="s">
        <v>78</v>
      </c>
      <c r="B15" s="32" t="s">
        <v>18</v>
      </c>
      <c r="C15">
        <v>10</v>
      </c>
      <c r="D15" s="32"/>
      <c r="E15" s="32" t="s">
        <v>1</v>
      </c>
      <c r="F15" s="34"/>
      <c r="AD15" s="11">
        <f t="shared" si="5"/>
        <v>0</v>
      </c>
      <c r="AF15" s="26">
        <v>11.682207813046324</v>
      </c>
      <c r="AG15" s="21">
        <v>14</v>
      </c>
      <c r="AH15" s="7">
        <f t="shared" si="6"/>
        <v>163.55090938264854</v>
      </c>
      <c r="AI15" s="7">
        <f t="shared" si="0"/>
        <v>0</v>
      </c>
      <c r="AJ15" s="7" t="e">
        <f t="shared" si="1"/>
        <v>#DIV/0!</v>
      </c>
      <c r="AK15" s="23" t="e">
        <f t="shared" si="2"/>
        <v>#DIV/0!</v>
      </c>
      <c r="AN15" s="11">
        <f t="shared" si="7"/>
        <v>0</v>
      </c>
      <c r="AO15" s="7"/>
      <c r="AP15" s="26">
        <v>33.080555961402155</v>
      </c>
      <c r="AQ15" s="21">
        <v>14</v>
      </c>
      <c r="AR15" s="7">
        <f t="shared" si="8"/>
        <v>463.12778345963017</v>
      </c>
      <c r="AS15" s="7">
        <f t="shared" si="9"/>
        <v>0</v>
      </c>
      <c r="AT15" s="7" t="e">
        <f t="shared" si="3"/>
        <v>#DIV/0!</v>
      </c>
      <c r="AU15" s="23" t="e">
        <f t="shared" si="4"/>
        <v>#DIV/0!</v>
      </c>
    </row>
    <row r="16" spans="1:53" ht="14.25" thickTop="1" thickBot="1" x14ac:dyDescent="0.25">
      <c r="A16" s="32" t="s">
        <v>72</v>
      </c>
      <c r="B16" s="32" t="s">
        <v>19</v>
      </c>
      <c r="C16">
        <v>3</v>
      </c>
      <c r="D16" s="32"/>
      <c r="E16" s="32" t="s">
        <v>1</v>
      </c>
      <c r="F16" s="34"/>
      <c r="AD16" s="11">
        <f t="shared" si="5"/>
        <v>0</v>
      </c>
      <c r="AF16" s="26">
        <v>12.850428594347978</v>
      </c>
      <c r="AG16" s="21">
        <v>8</v>
      </c>
      <c r="AH16" s="7">
        <f t="shared" si="6"/>
        <v>102.80342875478382</v>
      </c>
      <c r="AI16" s="7">
        <f t="shared" si="0"/>
        <v>0</v>
      </c>
      <c r="AJ16" s="7" t="e">
        <f t="shared" si="1"/>
        <v>#DIV/0!</v>
      </c>
      <c r="AK16" s="23" t="e">
        <f>AJ16+AK17</f>
        <v>#DIV/0!</v>
      </c>
      <c r="AN16" s="11">
        <f t="shared" si="7"/>
        <v>0</v>
      </c>
      <c r="AO16" s="7"/>
      <c r="AP16" s="26">
        <v>36.388611557533935</v>
      </c>
      <c r="AQ16" s="21">
        <v>8</v>
      </c>
      <c r="AR16" s="7">
        <f t="shared" si="8"/>
        <v>291.10889246027148</v>
      </c>
      <c r="AS16" s="7">
        <f t="shared" si="9"/>
        <v>0</v>
      </c>
      <c r="AT16" s="7" t="e">
        <f t="shared" si="3"/>
        <v>#DIV/0!</v>
      </c>
      <c r="AU16" s="23" t="e">
        <f>AT16+AU17</f>
        <v>#DIV/0!</v>
      </c>
    </row>
    <row r="17" spans="1:47" ht="14.25" thickTop="1" thickBot="1" x14ac:dyDescent="0.25">
      <c r="A17" s="32" t="s">
        <v>73</v>
      </c>
      <c r="B17" s="32" t="s">
        <v>0</v>
      </c>
      <c r="C17">
        <v>1</v>
      </c>
      <c r="D17" s="32"/>
      <c r="E17" s="32" t="s">
        <v>1</v>
      </c>
      <c r="F17" s="34"/>
      <c r="AD17" s="11">
        <f t="shared" si="5"/>
        <v>0</v>
      </c>
      <c r="AF17" s="26">
        <v>14.018649375649632</v>
      </c>
      <c r="AG17" s="21">
        <v>5</v>
      </c>
      <c r="AH17" s="7">
        <f t="shared" si="6"/>
        <v>70.093246878248166</v>
      </c>
      <c r="AI17" s="7">
        <f t="shared" si="0"/>
        <v>0</v>
      </c>
      <c r="AJ17" s="7" t="e">
        <f t="shared" si="1"/>
        <v>#DIV/0!</v>
      </c>
      <c r="AK17" s="23" t="e">
        <f>AJ17</f>
        <v>#DIV/0!</v>
      </c>
      <c r="AN17" s="11">
        <f t="shared" si="7"/>
        <v>0</v>
      </c>
      <c r="AO17" s="7"/>
      <c r="AP17" s="26">
        <v>39.696667153665715</v>
      </c>
      <c r="AQ17" s="21">
        <v>4</v>
      </c>
      <c r="AR17" s="7">
        <f t="shared" si="8"/>
        <v>158.78666861466286</v>
      </c>
      <c r="AS17" s="7">
        <f t="shared" si="9"/>
        <v>0</v>
      </c>
      <c r="AT17" s="7" t="e">
        <f t="shared" si="3"/>
        <v>#DIV/0!</v>
      </c>
      <c r="AU17" s="23" t="e">
        <f>AT17</f>
        <v>#DIV/0!</v>
      </c>
    </row>
    <row r="18" spans="1:47" ht="14.25" thickTop="1" thickBot="1" x14ac:dyDescent="0.25">
      <c r="A18" s="32" t="s">
        <v>74</v>
      </c>
      <c r="B18" s="32" t="s">
        <v>20</v>
      </c>
      <c r="C18">
        <v>0.5</v>
      </c>
      <c r="D18" s="32"/>
      <c r="E18" s="32" t="s">
        <v>1</v>
      </c>
      <c r="F18" s="34"/>
      <c r="AF18" s="22" t="s">
        <v>39</v>
      </c>
      <c r="AG18" s="22">
        <v>0</v>
      </c>
      <c r="AH18" s="18"/>
      <c r="AI18" s="17"/>
      <c r="AJ18" s="17"/>
      <c r="AK18" s="17"/>
      <c r="AN18" s="7"/>
      <c r="AO18" s="7"/>
      <c r="AP18" s="22" t="s">
        <v>39</v>
      </c>
      <c r="AQ18" s="22">
        <v>1</v>
      </c>
      <c r="AR18" s="18"/>
      <c r="AS18" s="17"/>
      <c r="AT18" s="17"/>
      <c r="AU18" s="17"/>
    </row>
    <row r="19" spans="1:47" ht="14.25" thickTop="1" thickBot="1" x14ac:dyDescent="0.25">
      <c r="A19" s="32" t="s">
        <v>62</v>
      </c>
      <c r="B19" s="32" t="s">
        <v>63</v>
      </c>
      <c r="C19" s="11">
        <v>10000000000</v>
      </c>
      <c r="D19" s="35">
        <f>0.693/C19</f>
        <v>6.9299999999999996E-11</v>
      </c>
      <c r="E19" s="32" t="s">
        <v>64</v>
      </c>
      <c r="F19" s="34"/>
      <c r="AF19" s="7" t="s">
        <v>53</v>
      </c>
      <c r="AG19" s="7">
        <f>SUM(AG5:AG18)</f>
        <v>200</v>
      </c>
      <c r="AH19" s="17">
        <f>SUM(AH5:AH17)</f>
        <v>1641.3501977347807</v>
      </c>
      <c r="AI19" s="16"/>
      <c r="AJ19" s="16"/>
      <c r="AK19" s="16"/>
      <c r="AN19" s="7"/>
      <c r="AO19" s="7"/>
      <c r="AP19" s="7" t="s">
        <v>53</v>
      </c>
      <c r="AQ19" s="7">
        <f>SUM(AQ5:AQ18)</f>
        <v>200</v>
      </c>
      <c r="AR19" s="17">
        <f>SUM(AR5:AR17)</f>
        <v>4608.1214454283545</v>
      </c>
      <c r="AS19" s="16"/>
      <c r="AT19" s="16"/>
      <c r="AU19" s="16"/>
    </row>
    <row r="20" spans="1:47" ht="14.25" thickTop="1" thickBot="1" x14ac:dyDescent="0.25">
      <c r="A20" s="32" t="s">
        <v>75</v>
      </c>
      <c r="B20" s="32" t="s">
        <v>61</v>
      </c>
      <c r="C20" s="32">
        <f>C10/C11</f>
        <v>0.1</v>
      </c>
      <c r="D20" s="32"/>
      <c r="E20" s="32" t="s">
        <v>7</v>
      </c>
      <c r="F20" s="34"/>
      <c r="AF20" s="17" t="s">
        <v>54</v>
      </c>
      <c r="AG20" s="17"/>
      <c r="AI20" s="17">
        <f>SUM(AI5:AI17)</f>
        <v>0</v>
      </c>
      <c r="AJ20" s="17"/>
      <c r="AK20" s="17"/>
      <c r="AN20" s="7"/>
      <c r="AO20" s="7"/>
      <c r="AP20" s="17" t="s">
        <v>54</v>
      </c>
      <c r="AQ20" s="17"/>
      <c r="AR20" s="7"/>
      <c r="AS20" s="17">
        <f>SUM(AS5:AS17)</f>
        <v>0</v>
      </c>
      <c r="AT20" s="17"/>
      <c r="AU20" s="17"/>
    </row>
    <row r="21" spans="1:47" ht="14.25" thickTop="1" thickBot="1" x14ac:dyDescent="0.25">
      <c r="A21" s="32" t="s">
        <v>76</v>
      </c>
      <c r="B21" s="32" t="s">
        <v>12</v>
      </c>
      <c r="C21" s="32">
        <f>ax*v</f>
        <v>0.1</v>
      </c>
      <c r="D21" s="32"/>
      <c r="E21" s="32" t="s">
        <v>13</v>
      </c>
      <c r="F21" s="34"/>
      <c r="AF21" s="17" t="s">
        <v>43</v>
      </c>
      <c r="AG21" s="17"/>
      <c r="AH21" s="17">
        <f>AH19/AG19</f>
        <v>8.2067509886739032</v>
      </c>
      <c r="AI21" s="17"/>
      <c r="AJ21" s="17"/>
      <c r="AK21" s="17"/>
      <c r="AN21" s="7"/>
      <c r="AO21" s="7"/>
      <c r="AP21" s="17" t="s">
        <v>43</v>
      </c>
      <c r="AQ21" s="17"/>
      <c r="AR21" s="17">
        <f>AR19/AQ19</f>
        <v>23.040607227141773</v>
      </c>
      <c r="AS21" s="17"/>
      <c r="AT21" s="17"/>
      <c r="AU21" s="17"/>
    </row>
    <row r="22" spans="1:47" ht="14.25" thickTop="1" thickBot="1" x14ac:dyDescent="0.25">
      <c r="A22" s="32" t="s">
        <v>77</v>
      </c>
      <c r="B22" s="32" t="s">
        <v>16</v>
      </c>
      <c r="C22" s="32">
        <f>C13*365</f>
        <v>91.25</v>
      </c>
      <c r="D22" s="32">
        <f>D13*365</f>
        <v>0</v>
      </c>
      <c r="E22" s="32" t="s">
        <v>9</v>
      </c>
      <c r="F22" s="34"/>
      <c r="AF22" s="18" t="s">
        <v>44</v>
      </c>
      <c r="AG22" s="18"/>
      <c r="AH22" s="18"/>
      <c r="AI22" s="18"/>
      <c r="AJ22" s="18" t="e">
        <f>SUM(AJ5:AJ18)</f>
        <v>#DIV/0!</v>
      </c>
      <c r="AK22" s="18"/>
      <c r="AN22" s="7"/>
      <c r="AO22" s="7"/>
      <c r="AP22" s="18" t="s">
        <v>44</v>
      </c>
      <c r="AQ22" s="18"/>
      <c r="AR22" s="18"/>
      <c r="AS22" s="18"/>
      <c r="AT22" s="18" t="e">
        <f>SUM(AT5:AT18)</f>
        <v>#DIV/0!</v>
      </c>
      <c r="AU22" s="18"/>
    </row>
    <row r="23" spans="1:47" ht="14.25" thickTop="1" thickBot="1" x14ac:dyDescent="0.25">
      <c r="A23" s="37" t="s">
        <v>58</v>
      </c>
      <c r="B23" s="38"/>
      <c r="C23" s="39"/>
      <c r="D23">
        <v>200</v>
      </c>
      <c r="E23" s="32"/>
      <c r="F23" s="34"/>
      <c r="AF23" s="7" t="s">
        <v>36</v>
      </c>
      <c r="AG23" s="7">
        <f>MIN(Y2:Y201)</f>
        <v>0</v>
      </c>
      <c r="AN23" s="7"/>
      <c r="AO23" s="7"/>
      <c r="AP23" s="7" t="s">
        <v>36</v>
      </c>
      <c r="AQ23" s="7">
        <f>MIN(Z2:Z201)</f>
        <v>0</v>
      </c>
      <c r="AR23" s="7"/>
      <c r="AS23" s="7"/>
      <c r="AT23" s="7"/>
      <c r="AU23" s="7"/>
    </row>
    <row r="24" spans="1:47" ht="14.25" thickTop="1" thickBot="1" x14ac:dyDescent="0.25">
      <c r="C24" s="3"/>
      <c r="AF24" s="7" t="s">
        <v>35</v>
      </c>
      <c r="AG24" s="7">
        <f>MAX(Y2:Y201)</f>
        <v>0</v>
      </c>
      <c r="AN24" s="7"/>
      <c r="AO24" s="7"/>
      <c r="AP24" s="7" t="s">
        <v>35</v>
      </c>
      <c r="AQ24" s="7">
        <f>MAX(Z2:Z201)</f>
        <v>0</v>
      </c>
      <c r="AR24" s="7"/>
      <c r="AS24" s="7"/>
      <c r="AT24" s="7"/>
      <c r="AU24" s="7"/>
    </row>
    <row r="25" spans="1:47" ht="14.25" thickTop="1" thickBot="1" x14ac:dyDescent="0.25">
      <c r="A25" s="4"/>
      <c r="B25" t="s">
        <v>34</v>
      </c>
      <c r="C25" s="3"/>
      <c r="AF25" s="18" t="s">
        <v>45</v>
      </c>
      <c r="AG25" s="18">
        <f>AG24-AG23</f>
        <v>0</v>
      </c>
      <c r="AH25" s="18"/>
      <c r="AI25" s="18"/>
      <c r="AJ25" s="18"/>
      <c r="AK25" s="18"/>
      <c r="AN25" s="7"/>
      <c r="AO25" s="7"/>
      <c r="AP25" s="18" t="s">
        <v>45</v>
      </c>
      <c r="AQ25" s="18">
        <f>AQ24-AQ23</f>
        <v>0</v>
      </c>
      <c r="AR25" s="18"/>
      <c r="AS25" s="18"/>
      <c r="AT25" s="18"/>
      <c r="AU25" s="18"/>
    </row>
    <row r="26" spans="1:47" ht="13.5" thickTop="1" x14ac:dyDescent="0.2">
      <c r="A26" t="s">
        <v>35</v>
      </c>
      <c r="B26" s="7">
        <f>MAX(D34:W54)</f>
        <v>24.073341196876502</v>
      </c>
      <c r="C26" s="3"/>
    </row>
    <row r="27" spans="1:47" x14ac:dyDescent="0.2">
      <c r="A27" t="s">
        <v>36</v>
      </c>
      <c r="B27" s="7">
        <f>MIN(D34:W54)</f>
        <v>6.2858281173618778E-14</v>
      </c>
      <c r="C27" s="3"/>
    </row>
    <row r="30" spans="1:47" x14ac:dyDescent="0.2">
      <c r="C30" s="3"/>
    </row>
    <row r="32" spans="1:47" x14ac:dyDescent="0.2">
      <c r="A32" t="s">
        <v>25</v>
      </c>
    </row>
    <row r="33" spans="1:23" x14ac:dyDescent="0.2">
      <c r="A33" t="s">
        <v>21</v>
      </c>
      <c r="B33" t="s">
        <v>22</v>
      </c>
      <c r="C33">
        <v>1E-3</v>
      </c>
      <c r="D33">
        <f>+C33+dx</f>
        <v>1.0009999999999999</v>
      </c>
      <c r="E33">
        <f t="shared" ref="E33:W33" si="10">+D33+dx</f>
        <v>2.0009999999999999</v>
      </c>
      <c r="F33">
        <f t="shared" si="10"/>
        <v>3.0009999999999999</v>
      </c>
      <c r="G33">
        <f t="shared" si="10"/>
        <v>4.0009999999999994</v>
      </c>
      <c r="H33">
        <f t="shared" si="10"/>
        <v>5.0009999999999994</v>
      </c>
      <c r="I33">
        <f t="shared" si="10"/>
        <v>6.0009999999999994</v>
      </c>
      <c r="J33">
        <f t="shared" si="10"/>
        <v>7.0009999999999994</v>
      </c>
      <c r="K33">
        <f t="shared" si="10"/>
        <v>8.0009999999999994</v>
      </c>
      <c r="L33">
        <f t="shared" si="10"/>
        <v>9.0009999999999994</v>
      </c>
      <c r="M33">
        <f t="shared" si="10"/>
        <v>10.000999999999999</v>
      </c>
      <c r="N33">
        <f t="shared" si="10"/>
        <v>11.000999999999999</v>
      </c>
      <c r="O33">
        <f t="shared" si="10"/>
        <v>12.000999999999999</v>
      </c>
      <c r="P33">
        <f t="shared" si="10"/>
        <v>13.000999999999999</v>
      </c>
      <c r="Q33">
        <f t="shared" si="10"/>
        <v>14.000999999999999</v>
      </c>
      <c r="R33">
        <f t="shared" si="10"/>
        <v>15.000999999999999</v>
      </c>
      <c r="S33">
        <f t="shared" si="10"/>
        <v>16.000999999999998</v>
      </c>
      <c r="T33">
        <f t="shared" si="10"/>
        <v>17.000999999999998</v>
      </c>
      <c r="U33">
        <f t="shared" si="10"/>
        <v>18.000999999999998</v>
      </c>
      <c r="V33">
        <f t="shared" si="10"/>
        <v>19.000999999999998</v>
      </c>
      <c r="W33">
        <f t="shared" si="10"/>
        <v>20.000999999999998</v>
      </c>
    </row>
    <row r="34" spans="1:23" x14ac:dyDescent="0.2">
      <c r="A34" s="1">
        <f t="shared" ref="A34:A42" si="11">+A35+dy</f>
        <v>5</v>
      </c>
      <c r="B34" s="8">
        <f>A34</f>
        <v>5</v>
      </c>
      <c r="C34">
        <f>IF(Y/2-A34&lt;0,0,IF(d&gt;Z,0,Co*1))</f>
        <v>0</v>
      </c>
      <c r="D34">
        <f t="shared" ref="D34:D54" si="12">Co/8*D58*D83*(D107-D131)*(D156-D181)</f>
        <v>6.2858281173618778E-14</v>
      </c>
      <c r="E34">
        <f t="shared" ref="E34:W34" si="13">Co/8*E58*E83*(E107-E131)*(E156-E181)</f>
        <v>3.7260749563551719E-7</v>
      </c>
      <c r="F34">
        <f t="shared" si="13"/>
        <v>7.1635228030385414E-5</v>
      </c>
      <c r="G34" s="8">
        <f t="shared" si="13"/>
        <v>1.0017703709697928E-3</v>
      </c>
      <c r="H34">
        <f t="shared" si="13"/>
        <v>4.811411293199108E-3</v>
      </c>
      <c r="I34">
        <f t="shared" si="13"/>
        <v>1.3322237257576915E-2</v>
      </c>
      <c r="J34">
        <f t="shared" si="13"/>
        <v>2.6527820447874041E-2</v>
      </c>
      <c r="K34">
        <f t="shared" si="13"/>
        <v>4.2380812513865489E-2</v>
      </c>
      <c r="L34">
        <f t="shared" si="13"/>
        <v>5.7668309658984847E-2</v>
      </c>
      <c r="M34">
        <f t="shared" si="13"/>
        <v>6.9217259726573319E-2</v>
      </c>
      <c r="N34">
        <f t="shared" si="13"/>
        <v>7.4885239848277801E-2</v>
      </c>
      <c r="O34">
        <f t="shared" si="13"/>
        <v>7.4051611190644961E-2</v>
      </c>
      <c r="P34">
        <f t="shared" si="13"/>
        <v>6.7556044560835762E-2</v>
      </c>
      <c r="Q34">
        <f t="shared" si="13"/>
        <v>5.7221086746627112E-2</v>
      </c>
      <c r="R34">
        <f t="shared" si="13"/>
        <v>4.5202535832137222E-2</v>
      </c>
      <c r="S34">
        <f t="shared" si="13"/>
        <v>3.3411244703678074E-2</v>
      </c>
      <c r="T34">
        <f t="shared" si="13"/>
        <v>2.3162371528901715E-2</v>
      </c>
      <c r="U34">
        <f t="shared" si="13"/>
        <v>1.5087342950808293E-2</v>
      </c>
      <c r="V34">
        <f t="shared" si="13"/>
        <v>9.2464913388965592E-3</v>
      </c>
      <c r="W34">
        <f t="shared" si="13"/>
        <v>5.337497099828589E-3</v>
      </c>
    </row>
    <row r="35" spans="1:23" x14ac:dyDescent="0.2">
      <c r="A35" s="1">
        <f t="shared" si="11"/>
        <v>4.5</v>
      </c>
      <c r="B35" s="8">
        <f t="shared" ref="B35:B44" si="14">A35</f>
        <v>4.5</v>
      </c>
      <c r="C35">
        <f t="shared" ref="C35:C54" si="15">IF(Y/2-A35&lt;0,0,IF(d&gt;Z,0,Co*1))</f>
        <v>0</v>
      </c>
      <c r="D35">
        <f t="shared" si="12"/>
        <v>2.4286567471153464E-10</v>
      </c>
      <c r="E35">
        <f t="shared" ref="E35:W35" si="16">Co/8*E59*E84*(E108-E132)*(E157-E182)</f>
        <v>2.4962751828221864E-5</v>
      </c>
      <c r="F35">
        <f t="shared" si="16"/>
        <v>1.2353877698424206E-3</v>
      </c>
      <c r="G35" s="8">
        <f t="shared" si="16"/>
        <v>8.7500607646750599E-3</v>
      </c>
      <c r="H35">
        <f t="shared" si="16"/>
        <v>2.7910444794476977E-2</v>
      </c>
      <c r="I35">
        <f t="shared" si="16"/>
        <v>5.8779182996025185E-2</v>
      </c>
      <c r="J35">
        <f t="shared" si="16"/>
        <v>9.6203350129075493E-2</v>
      </c>
      <c r="K35">
        <f t="shared" si="16"/>
        <v>0.13260893397040296</v>
      </c>
      <c r="L35">
        <f t="shared" si="16"/>
        <v>0.16080874765608685</v>
      </c>
      <c r="M35">
        <f t="shared" si="16"/>
        <v>0.17595162864239031</v>
      </c>
      <c r="N35">
        <f t="shared" si="16"/>
        <v>0.17641411801652093</v>
      </c>
      <c r="O35">
        <f t="shared" si="16"/>
        <v>0.16367817926843894</v>
      </c>
      <c r="P35">
        <f t="shared" si="16"/>
        <v>0.1414365222341451</v>
      </c>
      <c r="Q35">
        <f t="shared" si="16"/>
        <v>0.11432276766809579</v>
      </c>
      <c r="R35">
        <f t="shared" si="16"/>
        <v>8.6698214550473038E-2</v>
      </c>
      <c r="S35">
        <f t="shared" si="16"/>
        <v>6.1818477879850411E-2</v>
      </c>
      <c r="T35">
        <f t="shared" si="16"/>
        <v>4.1507391466025771E-2</v>
      </c>
      <c r="U35">
        <f t="shared" si="16"/>
        <v>2.6273867439348515E-2</v>
      </c>
      <c r="V35">
        <f t="shared" si="16"/>
        <v>1.5692185449867772E-2</v>
      </c>
      <c r="W35">
        <f t="shared" si="16"/>
        <v>8.8488224214892507E-3</v>
      </c>
    </row>
    <row r="36" spans="1:23" x14ac:dyDescent="0.2">
      <c r="A36" s="1">
        <f t="shared" si="11"/>
        <v>4</v>
      </c>
      <c r="B36" s="8">
        <f t="shared" si="14"/>
        <v>4</v>
      </c>
      <c r="C36">
        <f t="shared" si="15"/>
        <v>0</v>
      </c>
      <c r="D36">
        <f t="shared" si="12"/>
        <v>2.776977834281119E-7</v>
      </c>
      <c r="E36">
        <f t="shared" ref="E36:W36" si="17">Co/8*E60*E85*(E109-E133)*(E158-E183)</f>
        <v>9.1578907675779432E-4</v>
      </c>
      <c r="F36">
        <f t="shared" si="17"/>
        <v>1.433901520281812E-2</v>
      </c>
      <c r="G36" s="8">
        <f t="shared" si="17"/>
        <v>5.6994713154892462E-2</v>
      </c>
      <c r="H36">
        <f t="shared" si="17"/>
        <v>0.12835468489867641</v>
      </c>
      <c r="I36">
        <f t="shared" si="17"/>
        <v>0.21410584273707964</v>
      </c>
      <c r="J36">
        <f t="shared" si="17"/>
        <v>0.29643828105509368</v>
      </c>
      <c r="K36">
        <f t="shared" si="17"/>
        <v>0.36019437817787908</v>
      </c>
      <c r="L36">
        <f t="shared" si="17"/>
        <v>0.39574922183875061</v>
      </c>
      <c r="M36">
        <f t="shared" si="17"/>
        <v>0.3999428998560316</v>
      </c>
      <c r="N36">
        <f t="shared" si="17"/>
        <v>0.37557973790339255</v>
      </c>
      <c r="O36">
        <f t="shared" si="17"/>
        <v>0.32981899929160541</v>
      </c>
      <c r="P36">
        <f t="shared" si="17"/>
        <v>0.27193519514470782</v>
      </c>
      <c r="Q36">
        <f t="shared" si="17"/>
        <v>0.21106243743886507</v>
      </c>
      <c r="R36">
        <f t="shared" si="17"/>
        <v>0.15447973026502893</v>
      </c>
      <c r="S36">
        <f t="shared" si="17"/>
        <v>0.10674872109324743</v>
      </c>
      <c r="T36">
        <f t="shared" si="17"/>
        <v>6.9701287798791936E-2</v>
      </c>
      <c r="U36">
        <f t="shared" si="17"/>
        <v>4.3028491133859453E-2</v>
      </c>
      <c r="V36">
        <f t="shared" si="17"/>
        <v>2.512389813948392E-2</v>
      </c>
      <c r="W36">
        <f t="shared" si="17"/>
        <v>1.387913683787125E-2</v>
      </c>
    </row>
    <row r="37" spans="1:23" x14ac:dyDescent="0.2">
      <c r="A37" s="1">
        <f t="shared" si="11"/>
        <v>3.5</v>
      </c>
      <c r="B37" s="8">
        <f t="shared" si="14"/>
        <v>3.5</v>
      </c>
      <c r="C37">
        <f t="shared" si="15"/>
        <v>0</v>
      </c>
      <c r="D37">
        <f t="shared" si="12"/>
        <v>9.4269210007161876E-5</v>
      </c>
      <c r="E37">
        <f t="shared" ref="E37:W37" si="18">Co/8*E61*E86*(E110-E134)*(E159-E184)</f>
        <v>1.8536964032581146E-2</v>
      </c>
      <c r="F37">
        <f t="shared" si="18"/>
        <v>0.11271896820204359</v>
      </c>
      <c r="G37" s="8">
        <f t="shared" si="18"/>
        <v>0.27832984096763586</v>
      </c>
      <c r="H37">
        <f t="shared" si="18"/>
        <v>0.4701354253235091</v>
      </c>
      <c r="I37">
        <f t="shared" si="18"/>
        <v>0.64649040637343935</v>
      </c>
      <c r="J37">
        <f t="shared" si="18"/>
        <v>0.77892416839661738</v>
      </c>
      <c r="K37">
        <f t="shared" si="18"/>
        <v>0.85199735850957037</v>
      </c>
      <c r="L37">
        <f t="shared" si="18"/>
        <v>0.86194184427534704</v>
      </c>
      <c r="M37">
        <f t="shared" si="18"/>
        <v>0.81486709626818354</v>
      </c>
      <c r="N37">
        <f t="shared" si="18"/>
        <v>0.72414392501460834</v>
      </c>
      <c r="O37">
        <f t="shared" si="18"/>
        <v>0.60700219159103586</v>
      </c>
      <c r="P37">
        <f t="shared" si="18"/>
        <v>0.48091702961929778</v>
      </c>
      <c r="Q37">
        <f t="shared" si="18"/>
        <v>0.36057198973050536</v>
      </c>
      <c r="R37">
        <f t="shared" si="18"/>
        <v>0.25601611246405465</v>
      </c>
      <c r="S37">
        <f t="shared" si="18"/>
        <v>0.17221721260083767</v>
      </c>
      <c r="T37">
        <f t="shared" si="18"/>
        <v>0.10977918383053203</v>
      </c>
      <c r="U37">
        <f t="shared" si="18"/>
        <v>6.6320625565463656E-2</v>
      </c>
      <c r="V37">
        <f t="shared" si="18"/>
        <v>3.7973726951103653E-2</v>
      </c>
      <c r="W37">
        <f t="shared" si="18"/>
        <v>2.0607548296045129E-2</v>
      </c>
    </row>
    <row r="38" spans="1:23" x14ac:dyDescent="0.2">
      <c r="A38" s="1">
        <f t="shared" si="11"/>
        <v>3</v>
      </c>
      <c r="B38" s="8">
        <f t="shared" si="14"/>
        <v>3</v>
      </c>
      <c r="C38">
        <f t="shared" si="15"/>
        <v>0</v>
      </c>
      <c r="D38">
        <f t="shared" si="12"/>
        <v>9.6498981855529832E-3</v>
      </c>
      <c r="E38">
        <f t="shared" ref="E38:W38" si="19">Co/8*E62*E87*(E111-E135)*(E160-E185)</f>
        <v>0.20943665343012521</v>
      </c>
      <c r="F38">
        <f t="shared" si="19"/>
        <v>0.60564718165469456</v>
      </c>
      <c r="G38" s="8">
        <f t="shared" si="19"/>
        <v>1.0267510760738996</v>
      </c>
      <c r="H38">
        <f t="shared" si="19"/>
        <v>1.3802757732791291</v>
      </c>
      <c r="I38">
        <f t="shared" si="19"/>
        <v>1.6269984242189894</v>
      </c>
      <c r="J38">
        <f t="shared" si="19"/>
        <v>1.7534768592164449</v>
      </c>
      <c r="K38">
        <f t="shared" si="19"/>
        <v>1.7620321185244763</v>
      </c>
      <c r="L38">
        <f t="shared" si="19"/>
        <v>1.667120843711388</v>
      </c>
      <c r="M38">
        <f t="shared" si="19"/>
        <v>1.4925291899091293</v>
      </c>
      <c r="N38">
        <f t="shared" si="19"/>
        <v>1.2675770573158307</v>
      </c>
      <c r="O38">
        <f t="shared" si="19"/>
        <v>1.0224559264246822</v>
      </c>
      <c r="P38">
        <f t="shared" si="19"/>
        <v>0.78369611095948444</v>
      </c>
      <c r="Q38">
        <f t="shared" si="19"/>
        <v>0.57086209005843513</v>
      </c>
      <c r="R38">
        <f t="shared" si="19"/>
        <v>0.39514356722133465</v>
      </c>
      <c r="S38">
        <f t="shared" si="19"/>
        <v>0.25985739591294016</v>
      </c>
      <c r="T38">
        <f t="shared" si="19"/>
        <v>0.162318945693088</v>
      </c>
      <c r="U38">
        <f t="shared" si="19"/>
        <v>9.6283042376863873E-2</v>
      </c>
      <c r="V38">
        <f t="shared" si="19"/>
        <v>5.4221521175816148E-2</v>
      </c>
      <c r="W38">
        <f t="shared" si="19"/>
        <v>2.8982496203417946E-2</v>
      </c>
    </row>
    <row r="39" spans="1:23" x14ac:dyDescent="0.2">
      <c r="A39" s="1">
        <f t="shared" si="11"/>
        <v>2.5</v>
      </c>
      <c r="B39" s="8">
        <f t="shared" si="14"/>
        <v>2.5</v>
      </c>
      <c r="C39">
        <f t="shared" si="15"/>
        <v>0</v>
      </c>
      <c r="D39">
        <f t="shared" si="12"/>
        <v>0.30622445596482201</v>
      </c>
      <c r="E39">
        <f t="shared" ref="E39:W39" si="20">Co/8*E63*E88*(E112-E136)*(E161-E186)</f>
        <v>1.3455428626803576</v>
      </c>
      <c r="F39">
        <f t="shared" si="20"/>
        <v>2.2551749719202538</v>
      </c>
      <c r="G39" s="8">
        <f t="shared" si="20"/>
        <v>2.8924589107375773</v>
      </c>
      <c r="H39">
        <f t="shared" si="20"/>
        <v>3.2769686760779932</v>
      </c>
      <c r="I39">
        <f t="shared" si="20"/>
        <v>3.437651677357072</v>
      </c>
      <c r="J39">
        <f t="shared" si="20"/>
        <v>3.4022165706227594</v>
      </c>
      <c r="K39">
        <f t="shared" si="20"/>
        <v>3.2020225601055459</v>
      </c>
      <c r="L39">
        <f t="shared" si="20"/>
        <v>2.8752222653606485</v>
      </c>
      <c r="M39">
        <f t="shared" si="20"/>
        <v>2.4659142580545965</v>
      </c>
      <c r="N39">
        <f t="shared" si="20"/>
        <v>2.020065514343</v>
      </c>
      <c r="O39">
        <f t="shared" si="20"/>
        <v>1.5799493926203347</v>
      </c>
      <c r="P39">
        <f t="shared" si="20"/>
        <v>1.1790463017329105</v>
      </c>
      <c r="Q39">
        <f t="shared" si="20"/>
        <v>0.83892191182893672</v>
      </c>
      <c r="R39">
        <f t="shared" si="20"/>
        <v>0.5687392949035629</v>
      </c>
      <c r="S39">
        <f t="shared" si="20"/>
        <v>0.36713347433775123</v>
      </c>
      <c r="T39">
        <f t="shared" si="20"/>
        <v>0.22552665752631249</v>
      </c>
      <c r="U39">
        <f t="shared" si="20"/>
        <v>0.13176693142607607</v>
      </c>
      <c r="V39">
        <f t="shared" si="20"/>
        <v>7.3189279617833253E-2</v>
      </c>
      <c r="W39">
        <f t="shared" si="20"/>
        <v>3.8631629375099355E-2</v>
      </c>
    </row>
    <row r="40" spans="1:23" x14ac:dyDescent="0.2">
      <c r="A40" s="1">
        <f t="shared" si="11"/>
        <v>2</v>
      </c>
      <c r="B40" s="8">
        <f t="shared" si="14"/>
        <v>2</v>
      </c>
      <c r="C40">
        <f t="shared" si="15"/>
        <v>0</v>
      </c>
      <c r="D40">
        <f t="shared" si="12"/>
        <v>3.1777123284495858</v>
      </c>
      <c r="E40">
        <f t="shared" ref="E40:W40" si="21">Co/8*E64*E89*(E113-E137)*(E162-E187)</f>
        <v>5.0699735939473252</v>
      </c>
      <c r="F40">
        <f t="shared" si="21"/>
        <v>5.9441423149939521</v>
      </c>
      <c r="G40" s="8">
        <f t="shared" si="21"/>
        <v>6.3214591571297687</v>
      </c>
      <c r="H40">
        <f t="shared" si="21"/>
        <v>6.3685893726878362</v>
      </c>
      <c r="I40">
        <f t="shared" si="21"/>
        <v>6.1567744692999486</v>
      </c>
      <c r="J40">
        <f t="shared" si="21"/>
        <v>5.7328974632075518</v>
      </c>
      <c r="K40">
        <f t="shared" si="21"/>
        <v>5.1437374423851665</v>
      </c>
      <c r="L40">
        <f t="shared" si="21"/>
        <v>4.4428614958298587</v>
      </c>
      <c r="M40">
        <f t="shared" si="21"/>
        <v>3.6889550125601769</v>
      </c>
      <c r="N40">
        <f t="shared" si="21"/>
        <v>2.9398169564081269</v>
      </c>
      <c r="O40">
        <f t="shared" si="21"/>
        <v>2.2451772154293619</v>
      </c>
      <c r="P40">
        <f t="shared" si="21"/>
        <v>1.6409004885461584</v>
      </c>
      <c r="Q40">
        <f t="shared" si="21"/>
        <v>1.1462159046035025</v>
      </c>
      <c r="R40">
        <f t="shared" si="21"/>
        <v>0.76439832576759559</v>
      </c>
      <c r="S40">
        <f t="shared" si="21"/>
        <v>0.48620616628285351</v>
      </c>
      <c r="T40">
        <f t="shared" si="21"/>
        <v>0.29471545432238577</v>
      </c>
      <c r="U40">
        <f t="shared" si="21"/>
        <v>0.17011816666089499</v>
      </c>
      <c r="V40">
        <f t="shared" si="21"/>
        <v>9.3452361219386743E-2</v>
      </c>
      <c r="W40">
        <f t="shared" si="21"/>
        <v>4.8829801935278354E-2</v>
      </c>
    </row>
    <row r="41" spans="1:23" x14ac:dyDescent="0.2">
      <c r="A41" s="1">
        <f t="shared" si="11"/>
        <v>1.5</v>
      </c>
      <c r="B41" s="8">
        <f t="shared" si="14"/>
        <v>1.5</v>
      </c>
      <c r="C41">
        <f t="shared" si="15"/>
        <v>24.802135936032801</v>
      </c>
      <c r="D41">
        <f t="shared" si="12"/>
        <v>12.046320496380938</v>
      </c>
      <c r="E41">
        <f t="shared" ref="E41:W41" si="22">Co/8*E65*E90*(E114-E138)*(E163-E188)</f>
        <v>11.809544861919218</v>
      </c>
      <c r="F41">
        <f t="shared" si="22"/>
        <v>11.459153917171802</v>
      </c>
      <c r="G41" s="8">
        <f t="shared" si="22"/>
        <v>10.963976485920513</v>
      </c>
      <c r="H41">
        <f t="shared" si="22"/>
        <v>10.299904514028336</v>
      </c>
      <c r="I41">
        <f t="shared" si="22"/>
        <v>9.4614435836958091</v>
      </c>
      <c r="J41">
        <f t="shared" si="22"/>
        <v>8.4663926457077032</v>
      </c>
      <c r="K41">
        <f t="shared" si="22"/>
        <v>7.3547249730684001</v>
      </c>
      <c r="L41">
        <f t="shared" si="22"/>
        <v>6.1832575036051409</v>
      </c>
      <c r="M41">
        <f t="shared" si="22"/>
        <v>5.0170562253007054</v>
      </c>
      <c r="N41">
        <f t="shared" si="22"/>
        <v>3.9192041606045609</v>
      </c>
      <c r="O41">
        <f t="shared" si="22"/>
        <v>2.9412579833842196</v>
      </c>
      <c r="P41">
        <f t="shared" si="22"/>
        <v>2.1166385534679479</v>
      </c>
      <c r="Q41">
        <f t="shared" si="22"/>
        <v>1.4582832872919917</v>
      </c>
      <c r="R41">
        <f t="shared" si="22"/>
        <v>0.96055085910158033</v>
      </c>
      <c r="S41">
        <f t="shared" si="22"/>
        <v>0.6041842127725261</v>
      </c>
      <c r="T41">
        <f t="shared" si="22"/>
        <v>0.36253488061727956</v>
      </c>
      <c r="U41">
        <f t="shared" si="22"/>
        <v>0.20734103658704567</v>
      </c>
      <c r="V41">
        <f t="shared" si="22"/>
        <v>0.11294125820073976</v>
      </c>
      <c r="W41">
        <f t="shared" si="22"/>
        <v>5.8556311488603248E-2</v>
      </c>
    </row>
    <row r="42" spans="1:23" x14ac:dyDescent="0.2">
      <c r="A42" s="1">
        <f t="shared" si="11"/>
        <v>1</v>
      </c>
      <c r="B42" s="8">
        <f t="shared" si="14"/>
        <v>1</v>
      </c>
      <c r="C42">
        <f t="shared" si="15"/>
        <v>24.802135936032801</v>
      </c>
      <c r="D42">
        <f t="shared" si="12"/>
        <v>20.914928387100172</v>
      </c>
      <c r="E42">
        <f t="shared" ref="E42:W42" si="23">Co/8*E66*E91*(E115-E139)*(E164-E189)</f>
        <v>18.548249893710516</v>
      </c>
      <c r="F42">
        <f t="shared" si="23"/>
        <v>16.962225644444338</v>
      </c>
      <c r="G42" s="8">
        <f t="shared" si="23"/>
        <v>15.5659974445584</v>
      </c>
      <c r="H42">
        <f t="shared" si="23"/>
        <v>14.153874095374267</v>
      </c>
      <c r="I42">
        <f t="shared" si="23"/>
        <v>12.656238870830418</v>
      </c>
      <c r="J42">
        <f t="shared" si="23"/>
        <v>11.069306184459769</v>
      </c>
      <c r="K42">
        <f t="shared" si="23"/>
        <v>9.4282816903035513</v>
      </c>
      <c r="L42">
        <f t="shared" si="23"/>
        <v>7.7916808186066051</v>
      </c>
      <c r="M42">
        <f t="shared" si="23"/>
        <v>6.2275848598426187</v>
      </c>
      <c r="N42">
        <f t="shared" si="23"/>
        <v>4.8004792013856745</v>
      </c>
      <c r="O42">
        <f t="shared" si="23"/>
        <v>3.5602122659406104</v>
      </c>
      <c r="P42">
        <f t="shared" si="23"/>
        <v>2.5350668965878134</v>
      </c>
      <c r="Q42">
        <f t="shared" si="23"/>
        <v>1.730015228193629</v>
      </c>
      <c r="R42">
        <f t="shared" si="23"/>
        <v>1.1297813101372591</v>
      </c>
      <c r="S42">
        <f t="shared" si="23"/>
        <v>0.70510927648949429</v>
      </c>
      <c r="T42">
        <f t="shared" si="23"/>
        <v>0.42009946298673695</v>
      </c>
      <c r="U42">
        <f t="shared" si="23"/>
        <v>0.23870826805033191</v>
      </c>
      <c r="V42">
        <f t="shared" si="23"/>
        <v>0.12925503285009154</v>
      </c>
      <c r="W42">
        <f t="shared" si="23"/>
        <v>6.6647970831644601E-2</v>
      </c>
    </row>
    <row r="43" spans="1:23" x14ac:dyDescent="0.2">
      <c r="A43" s="1">
        <f>+A44+dy</f>
        <v>0.5</v>
      </c>
      <c r="B43" s="8">
        <f t="shared" si="14"/>
        <v>0.5</v>
      </c>
      <c r="C43">
        <f t="shared" si="15"/>
        <v>24.802135936032801</v>
      </c>
      <c r="D43">
        <f t="shared" si="12"/>
        <v>23.786322268072777</v>
      </c>
      <c r="E43">
        <f t="shared" ref="E43:W43" si="24">Co/8*E67*E92*(E116-E140)*(E165-E190)</f>
        <v>22.255059819599079</v>
      </c>
      <c r="F43">
        <f t="shared" si="24"/>
        <v>20.552881885118261</v>
      </c>
      <c r="G43" s="8">
        <f t="shared" si="24"/>
        <v>18.774578894582344</v>
      </c>
      <c r="H43">
        <f t="shared" si="24"/>
        <v>16.907864624902274</v>
      </c>
      <c r="I43">
        <f t="shared" si="24"/>
        <v>14.953771341267652</v>
      </c>
      <c r="J43">
        <f t="shared" si="24"/>
        <v>12.937655680557683</v>
      </c>
      <c r="K43">
        <f t="shared" si="24"/>
        <v>10.908371916998201</v>
      </c>
      <c r="L43">
        <f t="shared" si="24"/>
        <v>8.9316235383981599</v>
      </c>
      <c r="M43">
        <f t="shared" si="24"/>
        <v>7.0790464562273545</v>
      </c>
      <c r="N43">
        <f t="shared" si="24"/>
        <v>5.4157011380438771</v>
      </c>
      <c r="O43">
        <f t="shared" si="24"/>
        <v>3.9891956735513805</v>
      </c>
      <c r="P43">
        <f t="shared" si="24"/>
        <v>2.8231006693055893</v>
      </c>
      <c r="Q43">
        <f t="shared" si="24"/>
        <v>1.9158805158964067</v>
      </c>
      <c r="R43">
        <f t="shared" si="24"/>
        <v>1.2448523598338284</v>
      </c>
      <c r="S43">
        <f t="shared" si="24"/>
        <v>0.77335931877548358</v>
      </c>
      <c r="T43">
        <f t="shared" si="24"/>
        <v>0.45882967689210946</v>
      </c>
      <c r="U43">
        <f t="shared" si="24"/>
        <v>0.25971324883387503</v>
      </c>
      <c r="V43">
        <f t="shared" si="24"/>
        <v>0.1401317932714827</v>
      </c>
      <c r="W43">
        <f t="shared" si="24"/>
        <v>7.2020963375320726E-2</v>
      </c>
    </row>
    <row r="44" spans="1:23" x14ac:dyDescent="0.2">
      <c r="A44" s="1">
        <v>0</v>
      </c>
      <c r="B44" s="8">
        <f t="shared" si="14"/>
        <v>0</v>
      </c>
      <c r="C44">
        <f t="shared" si="15"/>
        <v>24.802135936032801</v>
      </c>
      <c r="D44">
        <f t="shared" si="12"/>
        <v>24.073341196876502</v>
      </c>
      <c r="E44">
        <f t="shared" ref="E44:W44" si="25">Co/8*E68*E93*(E117-E141)*(E166-E191)</f>
        <v>23.200266342455087</v>
      </c>
      <c r="F44">
        <f t="shared" si="25"/>
        <v>21.709484102098976</v>
      </c>
      <c r="G44" s="8">
        <f t="shared" si="25"/>
        <v>19.891940207242985</v>
      </c>
      <c r="H44">
        <f t="shared" si="25"/>
        <v>17.894937752442615</v>
      </c>
      <c r="I44">
        <f t="shared" si="25"/>
        <v>15.785688212339082</v>
      </c>
      <c r="J44">
        <f t="shared" si="25"/>
        <v>13.615796177932781</v>
      </c>
      <c r="K44">
        <f t="shared" si="25"/>
        <v>11.445025133630145</v>
      </c>
      <c r="L44">
        <f t="shared" si="25"/>
        <v>9.3438796325277131</v>
      </c>
      <c r="M44">
        <f t="shared" si="25"/>
        <v>7.3859865021062268</v>
      </c>
      <c r="N44">
        <f t="shared" si="25"/>
        <v>5.6367260843220315</v>
      </c>
      <c r="O44">
        <f t="shared" si="25"/>
        <v>4.1427922521149121</v>
      </c>
      <c r="P44">
        <f t="shared" si="25"/>
        <v>2.9258956921799419</v>
      </c>
      <c r="Q44">
        <f t="shared" si="25"/>
        <v>1.9820093790895736</v>
      </c>
      <c r="R44">
        <f t="shared" si="25"/>
        <v>1.2856755228085597</v>
      </c>
      <c r="S44">
        <f t="shared" si="25"/>
        <v>0.79750699694328298</v>
      </c>
      <c r="T44">
        <f t="shared" si="25"/>
        <v>0.47249862647894209</v>
      </c>
      <c r="U44">
        <f t="shared" si="25"/>
        <v>0.26710924046210271</v>
      </c>
      <c r="V44">
        <f t="shared" si="25"/>
        <v>0.14395328704296048</v>
      </c>
      <c r="W44">
        <f t="shared" si="25"/>
        <v>7.3904934748181078E-2</v>
      </c>
    </row>
    <row r="45" spans="1:23" x14ac:dyDescent="0.2">
      <c r="A45" s="1">
        <f>+A44+dy</f>
        <v>0.5</v>
      </c>
      <c r="B45" s="8">
        <f>A45*-1</f>
        <v>-0.5</v>
      </c>
      <c r="C45">
        <f t="shared" si="15"/>
        <v>24.802135936032801</v>
      </c>
      <c r="D45">
        <f t="shared" si="12"/>
        <v>23.786322268072777</v>
      </c>
      <c r="E45">
        <f t="shared" ref="E45:W45" si="26">Co/8*E69*E94*(E118-E142)*(E167-E192)</f>
        <v>22.255059819599079</v>
      </c>
      <c r="F45">
        <f t="shared" si="26"/>
        <v>20.552881885118261</v>
      </c>
      <c r="G45" s="8">
        <f t="shared" si="26"/>
        <v>18.774578894582344</v>
      </c>
      <c r="H45">
        <f t="shared" si="26"/>
        <v>16.907864624902274</v>
      </c>
      <c r="I45">
        <f t="shared" si="26"/>
        <v>14.953771341267652</v>
      </c>
      <c r="J45">
        <f t="shared" si="26"/>
        <v>12.937655680557683</v>
      </c>
      <c r="K45">
        <f t="shared" si="26"/>
        <v>10.908371916998201</v>
      </c>
      <c r="L45">
        <f t="shared" si="26"/>
        <v>8.9316235383981599</v>
      </c>
      <c r="M45">
        <f t="shared" si="26"/>
        <v>7.0790464562273545</v>
      </c>
      <c r="N45">
        <f t="shared" si="26"/>
        <v>5.4157011380438771</v>
      </c>
      <c r="O45">
        <f t="shared" si="26"/>
        <v>3.9891956735513805</v>
      </c>
      <c r="P45">
        <f t="shared" si="26"/>
        <v>2.8231006693055893</v>
      </c>
      <c r="Q45">
        <f t="shared" si="26"/>
        <v>1.9158805158964067</v>
      </c>
      <c r="R45">
        <f t="shared" si="26"/>
        <v>1.2448523598338284</v>
      </c>
      <c r="S45">
        <f t="shared" si="26"/>
        <v>0.77335931877548358</v>
      </c>
      <c r="T45">
        <f t="shared" si="26"/>
        <v>0.45882967689210946</v>
      </c>
      <c r="U45">
        <f t="shared" si="26"/>
        <v>0.25971324883387503</v>
      </c>
      <c r="V45">
        <f t="shared" si="26"/>
        <v>0.1401317932714827</v>
      </c>
      <c r="W45">
        <f t="shared" si="26"/>
        <v>7.2020963375320726E-2</v>
      </c>
    </row>
    <row r="46" spans="1:23" x14ac:dyDescent="0.2">
      <c r="A46" s="1">
        <f t="shared" ref="A46:A54" si="27">+A45+dy</f>
        <v>1</v>
      </c>
      <c r="B46" s="8">
        <f t="shared" ref="B46:B54" si="28">A46*-1</f>
        <v>-1</v>
      </c>
      <c r="C46">
        <f t="shared" si="15"/>
        <v>24.802135936032801</v>
      </c>
      <c r="D46">
        <f t="shared" si="12"/>
        <v>20.914928387100172</v>
      </c>
      <c r="E46">
        <f t="shared" ref="E46:W46" si="29">Co/8*E70*E95*(E119-E143)*(E168-E193)</f>
        <v>18.548249893710516</v>
      </c>
      <c r="F46">
        <f t="shared" si="29"/>
        <v>16.962225644444338</v>
      </c>
      <c r="G46" s="8">
        <f t="shared" si="29"/>
        <v>15.5659974445584</v>
      </c>
      <c r="H46">
        <f t="shared" si="29"/>
        <v>14.153874095374267</v>
      </c>
      <c r="I46">
        <f t="shared" si="29"/>
        <v>12.656238870830418</v>
      </c>
      <c r="J46">
        <f t="shared" si="29"/>
        <v>11.069306184459769</v>
      </c>
      <c r="K46">
        <f t="shared" si="29"/>
        <v>9.4282816903035513</v>
      </c>
      <c r="L46">
        <f t="shared" si="29"/>
        <v>7.7916808186066051</v>
      </c>
      <c r="M46">
        <f t="shared" si="29"/>
        <v>6.2275848598426187</v>
      </c>
      <c r="N46">
        <f t="shared" si="29"/>
        <v>4.8004792013856745</v>
      </c>
      <c r="O46">
        <f t="shared" si="29"/>
        <v>3.5602122659406104</v>
      </c>
      <c r="P46">
        <f t="shared" si="29"/>
        <v>2.5350668965878134</v>
      </c>
      <c r="Q46">
        <f t="shared" si="29"/>
        <v>1.730015228193629</v>
      </c>
      <c r="R46">
        <f t="shared" si="29"/>
        <v>1.1297813101372591</v>
      </c>
      <c r="S46">
        <f t="shared" si="29"/>
        <v>0.70510927648949429</v>
      </c>
      <c r="T46">
        <f t="shared" si="29"/>
        <v>0.42009946298673695</v>
      </c>
      <c r="U46">
        <f t="shared" si="29"/>
        <v>0.23870826805033191</v>
      </c>
      <c r="V46">
        <f t="shared" si="29"/>
        <v>0.12925503285009154</v>
      </c>
      <c r="W46">
        <f t="shared" si="29"/>
        <v>6.6647970831644601E-2</v>
      </c>
    </row>
    <row r="47" spans="1:23" x14ac:dyDescent="0.2">
      <c r="A47" s="1">
        <f t="shared" si="27"/>
        <v>1.5</v>
      </c>
      <c r="B47" s="8">
        <f t="shared" si="28"/>
        <v>-1.5</v>
      </c>
      <c r="C47">
        <f t="shared" si="15"/>
        <v>24.802135936032801</v>
      </c>
      <c r="D47">
        <f t="shared" si="12"/>
        <v>12.046320496380938</v>
      </c>
      <c r="E47">
        <f t="shared" ref="E47:W47" si="30">Co/8*E71*E96*(E120-E144)*(E169-E194)</f>
        <v>11.809544861919218</v>
      </c>
      <c r="F47">
        <f t="shared" si="30"/>
        <v>11.459153917171802</v>
      </c>
      <c r="G47" s="8">
        <f t="shared" si="30"/>
        <v>10.963976485920513</v>
      </c>
      <c r="H47">
        <f t="shared" si="30"/>
        <v>10.299904514028336</v>
      </c>
      <c r="I47">
        <f t="shared" si="30"/>
        <v>9.4614435836958091</v>
      </c>
      <c r="J47">
        <f t="shared" si="30"/>
        <v>8.4663926457077032</v>
      </c>
      <c r="K47">
        <f t="shared" si="30"/>
        <v>7.3547249730684001</v>
      </c>
      <c r="L47">
        <f t="shared" si="30"/>
        <v>6.1832575036051409</v>
      </c>
      <c r="M47">
        <f t="shared" si="30"/>
        <v>5.0170562253007054</v>
      </c>
      <c r="N47">
        <f t="shared" si="30"/>
        <v>3.9192041606045609</v>
      </c>
      <c r="O47">
        <f t="shared" si="30"/>
        <v>2.9412579833842196</v>
      </c>
      <c r="P47">
        <f t="shared" si="30"/>
        <v>2.1166385534679479</v>
      </c>
      <c r="Q47">
        <f t="shared" si="30"/>
        <v>1.4582832872919917</v>
      </c>
      <c r="R47">
        <f t="shared" si="30"/>
        <v>0.96055085910158033</v>
      </c>
      <c r="S47">
        <f t="shared" si="30"/>
        <v>0.6041842127725261</v>
      </c>
      <c r="T47">
        <f t="shared" si="30"/>
        <v>0.36253488061727956</v>
      </c>
      <c r="U47">
        <f t="shared" si="30"/>
        <v>0.20734103658704567</v>
      </c>
      <c r="V47">
        <f t="shared" si="30"/>
        <v>0.11294125820073976</v>
      </c>
      <c r="W47">
        <f t="shared" si="30"/>
        <v>5.8556311488603248E-2</v>
      </c>
    </row>
    <row r="48" spans="1:23" x14ac:dyDescent="0.2">
      <c r="A48" s="1">
        <f t="shared" si="27"/>
        <v>2</v>
      </c>
      <c r="B48" s="8">
        <f t="shared" si="28"/>
        <v>-2</v>
      </c>
      <c r="C48">
        <f t="shared" si="15"/>
        <v>0</v>
      </c>
      <c r="D48">
        <f t="shared" si="12"/>
        <v>3.1777123284495858</v>
      </c>
      <c r="E48">
        <f t="shared" ref="E48:W48" si="31">Co/8*E72*E97*(E121-E145)*(E170-E195)</f>
        <v>5.0699735939473252</v>
      </c>
      <c r="F48">
        <f t="shared" si="31"/>
        <v>5.9441423149939521</v>
      </c>
      <c r="G48" s="8">
        <f t="shared" si="31"/>
        <v>6.3214591571297687</v>
      </c>
      <c r="H48">
        <f t="shared" si="31"/>
        <v>6.3685893726878362</v>
      </c>
      <c r="I48">
        <f t="shared" si="31"/>
        <v>6.1567744692999486</v>
      </c>
      <c r="J48">
        <f t="shared" si="31"/>
        <v>5.7328974632075518</v>
      </c>
      <c r="K48">
        <f t="shared" si="31"/>
        <v>5.1437374423851665</v>
      </c>
      <c r="L48">
        <f t="shared" si="31"/>
        <v>4.4428614958298587</v>
      </c>
      <c r="M48">
        <f t="shared" si="31"/>
        <v>3.6889550125601769</v>
      </c>
      <c r="N48">
        <f t="shared" si="31"/>
        <v>2.9398169564081269</v>
      </c>
      <c r="O48">
        <f t="shared" si="31"/>
        <v>2.2451772154293619</v>
      </c>
      <c r="P48">
        <f t="shared" si="31"/>
        <v>1.6409004885461584</v>
      </c>
      <c r="Q48">
        <f t="shared" si="31"/>
        <v>1.1462159046035025</v>
      </c>
      <c r="R48">
        <f t="shared" si="31"/>
        <v>0.76439832576759559</v>
      </c>
      <c r="S48">
        <f t="shared" si="31"/>
        <v>0.48620616628285351</v>
      </c>
      <c r="T48">
        <f t="shared" si="31"/>
        <v>0.29471545432238577</v>
      </c>
      <c r="U48">
        <f t="shared" si="31"/>
        <v>0.17011816666089499</v>
      </c>
      <c r="V48">
        <f t="shared" si="31"/>
        <v>9.3452361219386743E-2</v>
      </c>
      <c r="W48">
        <f t="shared" si="31"/>
        <v>4.8829801935278354E-2</v>
      </c>
    </row>
    <row r="49" spans="1:47" x14ac:dyDescent="0.2">
      <c r="A49" s="1">
        <f t="shared" si="27"/>
        <v>2.5</v>
      </c>
      <c r="B49" s="8">
        <f t="shared" si="28"/>
        <v>-2.5</v>
      </c>
      <c r="C49">
        <f t="shared" si="15"/>
        <v>0</v>
      </c>
      <c r="D49">
        <f t="shared" si="12"/>
        <v>0.30622445596482201</v>
      </c>
      <c r="E49">
        <f t="shared" ref="E49:W49" si="32">Co/8*E73*E98*(E122-E146)*(E171-E196)</f>
        <v>1.3455428626803576</v>
      </c>
      <c r="F49">
        <f t="shared" si="32"/>
        <v>2.2551749719202538</v>
      </c>
      <c r="G49" s="8">
        <f t="shared" si="32"/>
        <v>2.8924589107375773</v>
      </c>
      <c r="H49">
        <f t="shared" si="32"/>
        <v>3.2769686760779932</v>
      </c>
      <c r="I49">
        <f t="shared" si="32"/>
        <v>3.437651677357072</v>
      </c>
      <c r="J49">
        <f t="shared" si="32"/>
        <v>3.4022165706227594</v>
      </c>
      <c r="K49">
        <f t="shared" si="32"/>
        <v>3.2020225601055459</v>
      </c>
      <c r="L49">
        <f t="shared" si="32"/>
        <v>2.8752222653606485</v>
      </c>
      <c r="M49">
        <f t="shared" si="32"/>
        <v>2.4659142580545965</v>
      </c>
      <c r="N49">
        <f t="shared" si="32"/>
        <v>2.020065514343</v>
      </c>
      <c r="O49">
        <f t="shared" si="32"/>
        <v>1.5799493926203347</v>
      </c>
      <c r="P49">
        <f t="shared" si="32"/>
        <v>1.1790463017329105</v>
      </c>
      <c r="Q49">
        <f t="shared" si="32"/>
        <v>0.83892191182893672</v>
      </c>
      <c r="R49">
        <f t="shared" si="32"/>
        <v>0.5687392949035629</v>
      </c>
      <c r="S49">
        <f t="shared" si="32"/>
        <v>0.36713347433775123</v>
      </c>
      <c r="T49">
        <f t="shared" si="32"/>
        <v>0.22552665752631249</v>
      </c>
      <c r="U49">
        <f t="shared" si="32"/>
        <v>0.13176693142607607</v>
      </c>
      <c r="V49">
        <f t="shared" si="32"/>
        <v>7.3189279617833253E-2</v>
      </c>
      <c r="W49">
        <f t="shared" si="32"/>
        <v>3.8631629375099355E-2</v>
      </c>
    </row>
    <row r="50" spans="1:47" x14ac:dyDescent="0.2">
      <c r="A50" s="1">
        <f t="shared" si="27"/>
        <v>3</v>
      </c>
      <c r="B50" s="8">
        <f t="shared" si="28"/>
        <v>-3</v>
      </c>
      <c r="C50">
        <f t="shared" si="15"/>
        <v>0</v>
      </c>
      <c r="D50">
        <f t="shared" si="12"/>
        <v>9.6498981855529832E-3</v>
      </c>
      <c r="E50">
        <f t="shared" ref="E50:W50" si="33">Co/8*E74*E99*(E123-E147)*(E172-E197)</f>
        <v>0.20943665343012521</v>
      </c>
      <c r="F50">
        <f t="shared" si="33"/>
        <v>0.60564718165469456</v>
      </c>
      <c r="G50" s="8">
        <f t="shared" si="33"/>
        <v>1.0267510760738996</v>
      </c>
      <c r="H50">
        <f t="shared" si="33"/>
        <v>1.3802757732791291</v>
      </c>
      <c r="I50">
        <f t="shared" si="33"/>
        <v>1.6269984242189894</v>
      </c>
      <c r="J50">
        <f t="shared" si="33"/>
        <v>1.7534768592164449</v>
      </c>
      <c r="K50">
        <f t="shared" si="33"/>
        <v>1.7620321185244763</v>
      </c>
      <c r="L50">
        <f t="shared" si="33"/>
        <v>1.667120843711388</v>
      </c>
      <c r="M50">
        <f t="shared" si="33"/>
        <v>1.4925291899091293</v>
      </c>
      <c r="N50">
        <f t="shared" si="33"/>
        <v>1.2675770573158307</v>
      </c>
      <c r="O50">
        <f t="shared" si="33"/>
        <v>1.0224559264246822</v>
      </c>
      <c r="P50">
        <f t="shared" si="33"/>
        <v>0.78369611095948444</v>
      </c>
      <c r="Q50">
        <f t="shared" si="33"/>
        <v>0.57086209005843513</v>
      </c>
      <c r="R50">
        <f t="shared" si="33"/>
        <v>0.39514356722133465</v>
      </c>
      <c r="S50">
        <f t="shared" si="33"/>
        <v>0.25985739591294016</v>
      </c>
      <c r="T50">
        <f t="shared" si="33"/>
        <v>0.162318945693088</v>
      </c>
      <c r="U50">
        <f t="shared" si="33"/>
        <v>9.6283042376863873E-2</v>
      </c>
      <c r="V50">
        <f t="shared" si="33"/>
        <v>5.4221521175816148E-2</v>
      </c>
      <c r="W50">
        <f t="shared" si="33"/>
        <v>2.8982496203417946E-2</v>
      </c>
    </row>
    <row r="51" spans="1:47" x14ac:dyDescent="0.2">
      <c r="A51" s="1">
        <f t="shared" si="27"/>
        <v>3.5</v>
      </c>
      <c r="B51" s="8">
        <f t="shared" si="28"/>
        <v>-3.5</v>
      </c>
      <c r="C51">
        <f t="shared" si="15"/>
        <v>0</v>
      </c>
      <c r="D51">
        <f t="shared" si="12"/>
        <v>9.4269210007161876E-5</v>
      </c>
      <c r="E51">
        <f t="shared" ref="E51:W51" si="34">Co/8*E75*E100*(E124-E148)*(E173-E198)</f>
        <v>1.8536964032581146E-2</v>
      </c>
      <c r="F51">
        <f t="shared" si="34"/>
        <v>0.11271896820204359</v>
      </c>
      <c r="G51" s="8">
        <f t="shared" si="34"/>
        <v>0.27832984096763586</v>
      </c>
      <c r="H51">
        <f t="shared" si="34"/>
        <v>0.4701354253235091</v>
      </c>
      <c r="I51">
        <f t="shared" si="34"/>
        <v>0.64649040637343935</v>
      </c>
      <c r="J51">
        <f t="shared" si="34"/>
        <v>0.77892416839661738</v>
      </c>
      <c r="K51">
        <f t="shared" si="34"/>
        <v>0.85199735850957037</v>
      </c>
      <c r="L51">
        <f t="shared" si="34"/>
        <v>0.86194184427534704</v>
      </c>
      <c r="M51">
        <f t="shared" si="34"/>
        <v>0.81486709626818354</v>
      </c>
      <c r="N51">
        <f t="shared" si="34"/>
        <v>0.72414392501460834</v>
      </c>
      <c r="O51">
        <f t="shared" si="34"/>
        <v>0.60700219159103586</v>
      </c>
      <c r="P51">
        <f t="shared" si="34"/>
        <v>0.48091702961929778</v>
      </c>
      <c r="Q51">
        <f t="shared" si="34"/>
        <v>0.36057198973050536</v>
      </c>
      <c r="R51">
        <f t="shared" si="34"/>
        <v>0.25601611246405465</v>
      </c>
      <c r="S51">
        <f t="shared" si="34"/>
        <v>0.17221721260083767</v>
      </c>
      <c r="T51">
        <f t="shared" si="34"/>
        <v>0.10977918383053203</v>
      </c>
      <c r="U51">
        <f t="shared" si="34"/>
        <v>6.6320625565463656E-2</v>
      </c>
      <c r="V51">
        <f t="shared" si="34"/>
        <v>3.7973726951103653E-2</v>
      </c>
      <c r="W51">
        <f t="shared" si="34"/>
        <v>2.0607548296045129E-2</v>
      </c>
    </row>
    <row r="52" spans="1:47" x14ac:dyDescent="0.2">
      <c r="A52" s="1">
        <f t="shared" si="27"/>
        <v>4</v>
      </c>
      <c r="B52" s="8">
        <f t="shared" si="28"/>
        <v>-4</v>
      </c>
      <c r="C52">
        <f t="shared" si="15"/>
        <v>0</v>
      </c>
      <c r="D52">
        <f t="shared" si="12"/>
        <v>2.776977834281119E-7</v>
      </c>
      <c r="E52">
        <f t="shared" ref="E52:W52" si="35">Co/8*E76*E101*(E125-E149)*(E174-E199)</f>
        <v>9.1578907675779432E-4</v>
      </c>
      <c r="F52">
        <f t="shared" si="35"/>
        <v>1.433901520281812E-2</v>
      </c>
      <c r="G52" s="8">
        <f t="shared" si="35"/>
        <v>5.6994713154892462E-2</v>
      </c>
      <c r="H52">
        <f t="shared" si="35"/>
        <v>0.12835468489867641</v>
      </c>
      <c r="I52">
        <f t="shared" si="35"/>
        <v>0.21410584273707964</v>
      </c>
      <c r="J52">
        <f t="shared" si="35"/>
        <v>0.29643828105509368</v>
      </c>
      <c r="K52">
        <f t="shared" si="35"/>
        <v>0.36019437817787908</v>
      </c>
      <c r="L52">
        <f t="shared" si="35"/>
        <v>0.39574922183875061</v>
      </c>
      <c r="M52">
        <f t="shared" si="35"/>
        <v>0.3999428998560316</v>
      </c>
      <c r="N52">
        <f t="shared" si="35"/>
        <v>0.37557973790339255</v>
      </c>
      <c r="O52">
        <f t="shared" si="35"/>
        <v>0.32981899929160541</v>
      </c>
      <c r="P52">
        <f t="shared" si="35"/>
        <v>0.27193519514470782</v>
      </c>
      <c r="Q52">
        <f t="shared" si="35"/>
        <v>0.21106243743886507</v>
      </c>
      <c r="R52">
        <f t="shared" si="35"/>
        <v>0.15447973026502893</v>
      </c>
      <c r="S52">
        <f t="shared" si="35"/>
        <v>0.10674872109324743</v>
      </c>
      <c r="T52">
        <f t="shared" si="35"/>
        <v>6.9701287798791936E-2</v>
      </c>
      <c r="U52">
        <f t="shared" si="35"/>
        <v>4.3028491133859453E-2</v>
      </c>
      <c r="V52">
        <f t="shared" si="35"/>
        <v>2.512389813948392E-2</v>
      </c>
      <c r="W52">
        <f t="shared" si="35"/>
        <v>1.387913683787125E-2</v>
      </c>
    </row>
    <row r="53" spans="1:47" ht="13.5" thickBot="1" x14ac:dyDescent="0.25">
      <c r="A53" s="1">
        <f t="shared" si="27"/>
        <v>4.5</v>
      </c>
      <c r="B53" s="8">
        <f t="shared" si="28"/>
        <v>-4.5</v>
      </c>
      <c r="C53">
        <f t="shared" si="15"/>
        <v>0</v>
      </c>
      <c r="D53">
        <f t="shared" si="12"/>
        <v>2.4286567471153464E-10</v>
      </c>
      <c r="E53">
        <f t="shared" ref="E53:S53" si="36">Co/8*E77*E102*(E126-E150)*(E175-E200)</f>
        <v>2.4962751828221864E-5</v>
      </c>
      <c r="F53">
        <f t="shared" si="36"/>
        <v>1.2353877698424206E-3</v>
      </c>
      <c r="G53" s="8">
        <f t="shared" si="36"/>
        <v>8.7500607646750599E-3</v>
      </c>
      <c r="H53">
        <f t="shared" si="36"/>
        <v>2.7910444794476977E-2</v>
      </c>
      <c r="I53">
        <f t="shared" si="36"/>
        <v>5.8779182996025185E-2</v>
      </c>
      <c r="J53">
        <f t="shared" si="36"/>
        <v>9.6203350129075493E-2</v>
      </c>
      <c r="K53">
        <f t="shared" si="36"/>
        <v>0.13260893397040296</v>
      </c>
      <c r="L53">
        <f t="shared" si="36"/>
        <v>0.16080874765608685</v>
      </c>
      <c r="M53">
        <f t="shared" si="36"/>
        <v>0.17595162864239031</v>
      </c>
      <c r="N53">
        <f t="shared" si="36"/>
        <v>0.17641411801652093</v>
      </c>
      <c r="O53">
        <f t="shared" si="36"/>
        <v>0.16367817926843894</v>
      </c>
      <c r="P53">
        <f t="shared" si="36"/>
        <v>0.1414365222341451</v>
      </c>
      <c r="Q53">
        <f t="shared" si="36"/>
        <v>0.11432276766809579</v>
      </c>
      <c r="R53">
        <f t="shared" si="36"/>
        <v>8.6698214550473038E-2</v>
      </c>
      <c r="S53">
        <f t="shared" si="36"/>
        <v>6.1818477879850411E-2</v>
      </c>
      <c r="T53">
        <f>Co/8*T77*T102*(T126-T150)*(T175-T200)</f>
        <v>4.1507391466025771E-2</v>
      </c>
      <c r="U53">
        <f>Co/8*U77*U102*(U126-U150)*(U175-U200)</f>
        <v>2.6273867439348515E-2</v>
      </c>
      <c r="V53">
        <f>Co/8*V77*V102*(V126-V150)*(V175-V200)</f>
        <v>1.5692185449867772E-2</v>
      </c>
      <c r="W53">
        <f>Co/8*W77*W102*(W126-W150)*(W175-W200)</f>
        <v>8.8488224214892507E-3</v>
      </c>
      <c r="AC53" s="42" t="s">
        <v>52</v>
      </c>
      <c r="AD53" s="42"/>
      <c r="AF53" s="20" t="s">
        <v>51</v>
      </c>
      <c r="AH53" s="25" t="str">
        <f>AA1</f>
        <v xml:space="preserve"> 1,  1</v>
      </c>
      <c r="AM53" s="42" t="s">
        <v>52</v>
      </c>
      <c r="AN53" s="42"/>
      <c r="AO53" s="7"/>
      <c r="AP53" s="20" t="s">
        <v>51</v>
      </c>
      <c r="AQ53" s="7"/>
      <c r="AR53" s="25" t="str">
        <f>AB1</f>
        <v xml:space="preserve"> 1,  1</v>
      </c>
      <c r="AS53" s="7"/>
      <c r="AT53" s="7"/>
      <c r="AU53" s="7"/>
    </row>
    <row r="54" spans="1:47" x14ac:dyDescent="0.2">
      <c r="A54" s="1">
        <f t="shared" si="27"/>
        <v>5</v>
      </c>
      <c r="B54" s="8">
        <f t="shared" si="28"/>
        <v>-5</v>
      </c>
      <c r="C54">
        <f t="shared" si="15"/>
        <v>0</v>
      </c>
      <c r="D54">
        <f t="shared" si="12"/>
        <v>6.2858281173618778E-14</v>
      </c>
      <c r="E54">
        <f t="shared" ref="E54:W54" si="37">Co/8*E78*E103*(E127-E151)*(E176-E201)</f>
        <v>3.7260749563551719E-7</v>
      </c>
      <c r="F54">
        <f t="shared" si="37"/>
        <v>7.1635228030385414E-5</v>
      </c>
      <c r="G54" s="8">
        <f t="shared" si="37"/>
        <v>1.0017703709697928E-3</v>
      </c>
      <c r="H54">
        <f t="shared" si="37"/>
        <v>4.811411293199108E-3</v>
      </c>
      <c r="I54">
        <f t="shared" si="37"/>
        <v>1.3322237257576915E-2</v>
      </c>
      <c r="J54">
        <f t="shared" si="37"/>
        <v>2.6527820447874041E-2</v>
      </c>
      <c r="K54">
        <f t="shared" si="37"/>
        <v>4.2380812513865489E-2</v>
      </c>
      <c r="L54">
        <f t="shared" si="37"/>
        <v>5.7668309658984847E-2</v>
      </c>
      <c r="M54">
        <f t="shared" si="37"/>
        <v>6.9217259726573319E-2</v>
      </c>
      <c r="N54">
        <f t="shared" si="37"/>
        <v>7.4885239848277801E-2</v>
      </c>
      <c r="O54">
        <f t="shared" si="37"/>
        <v>7.4051611190644961E-2</v>
      </c>
      <c r="P54">
        <f t="shared" si="37"/>
        <v>6.7556044560835762E-2</v>
      </c>
      <c r="Q54">
        <f t="shared" si="37"/>
        <v>5.7221086746627112E-2</v>
      </c>
      <c r="R54">
        <f t="shared" si="37"/>
        <v>4.5202535832137222E-2</v>
      </c>
      <c r="S54">
        <f t="shared" si="37"/>
        <v>3.3411244703678074E-2</v>
      </c>
      <c r="T54">
        <f t="shared" si="37"/>
        <v>2.3162371528901715E-2</v>
      </c>
      <c r="U54">
        <f t="shared" si="37"/>
        <v>1.5087342950808293E-2</v>
      </c>
      <c r="V54">
        <f t="shared" si="37"/>
        <v>9.2464913388965592E-3</v>
      </c>
      <c r="W54">
        <f t="shared" si="37"/>
        <v>5.337497099828589E-3</v>
      </c>
      <c r="AD54" s="19" t="s">
        <v>48</v>
      </c>
      <c r="AF54" s="29" t="s">
        <v>38</v>
      </c>
      <c r="AG54" s="29" t="s">
        <v>40</v>
      </c>
      <c r="AH54" s="19" t="s">
        <v>46</v>
      </c>
      <c r="AI54" s="19" t="s">
        <v>42</v>
      </c>
      <c r="AJ54" s="19" t="s">
        <v>41</v>
      </c>
      <c r="AK54" s="19" t="s">
        <v>47</v>
      </c>
      <c r="AN54" s="19" t="s">
        <v>48</v>
      </c>
      <c r="AO54" s="7"/>
      <c r="AP54" s="29" t="s">
        <v>38</v>
      </c>
      <c r="AQ54" s="29" t="s">
        <v>40</v>
      </c>
      <c r="AR54" s="19" t="s">
        <v>46</v>
      </c>
      <c r="AS54" s="19" t="s">
        <v>42</v>
      </c>
      <c r="AT54" s="19" t="s">
        <v>41</v>
      </c>
      <c r="AU54" s="19" t="s">
        <v>47</v>
      </c>
    </row>
    <row r="55" spans="1:47" x14ac:dyDescent="0.2">
      <c r="AD55" s="11">
        <f>AG73</f>
        <v>0</v>
      </c>
      <c r="AF55" s="26">
        <v>8.4327125861425291E-11</v>
      </c>
      <c r="AG55" s="21">
        <v>1</v>
      </c>
      <c r="AH55" s="7">
        <f>AG55*AF55</f>
        <v>8.4327125861425291E-11</v>
      </c>
      <c r="AI55" s="7">
        <f>AG55*AG$75/12</f>
        <v>0</v>
      </c>
      <c r="AJ55" s="7" t="e">
        <f>AI55/AI$70</f>
        <v>#DIV/0!</v>
      </c>
      <c r="AK55" s="23" t="e">
        <f t="shared" ref="AK55:AK65" si="38">AJ55+AK56</f>
        <v>#DIV/0!</v>
      </c>
      <c r="AN55" s="11">
        <f>AQ73</f>
        <v>0</v>
      </c>
      <c r="AO55" s="7"/>
      <c r="AP55" s="26">
        <v>8.4327125861425291E-11</v>
      </c>
      <c r="AQ55" s="21">
        <v>1</v>
      </c>
      <c r="AR55" s="7">
        <f>AQ55*AP55</f>
        <v>8.4327125861425291E-11</v>
      </c>
      <c r="AS55" s="7">
        <f>AQ55*AQ$75/12</f>
        <v>0</v>
      </c>
      <c r="AT55" s="7" t="e">
        <f>AS55/AS$70</f>
        <v>#DIV/0!</v>
      </c>
      <c r="AU55" s="23" t="e">
        <f t="shared" ref="AU55:AU65" si="39">AT55+AU56</f>
        <v>#DIV/0!</v>
      </c>
    </row>
    <row r="56" spans="1:47" x14ac:dyDescent="0.2">
      <c r="A56" t="s">
        <v>24</v>
      </c>
      <c r="AD56" s="11">
        <f>AD55+AG$75/12</f>
        <v>0</v>
      </c>
      <c r="AF56" s="26">
        <v>3.3080555962161102</v>
      </c>
      <c r="AG56" s="21">
        <v>3</v>
      </c>
      <c r="AH56" s="7">
        <f t="shared" ref="AH56:AH67" si="40">AG56*AF56</f>
        <v>9.9241667886483302</v>
      </c>
      <c r="AI56" s="7">
        <f t="shared" ref="AI56:AI67" si="41">AG56*AG$75/12</f>
        <v>0</v>
      </c>
      <c r="AJ56" s="7" t="e">
        <f t="shared" ref="AJ56:AJ67" si="42">AI56/AI$70</f>
        <v>#DIV/0!</v>
      </c>
      <c r="AK56" s="23" t="e">
        <f t="shared" si="38"/>
        <v>#DIV/0!</v>
      </c>
      <c r="AN56" s="11">
        <f>AN55+AQ$75/12</f>
        <v>0</v>
      </c>
      <c r="AO56" s="7"/>
      <c r="AP56" s="26">
        <v>3.3080555962161102</v>
      </c>
      <c r="AQ56" s="21">
        <v>3</v>
      </c>
      <c r="AR56" s="7">
        <f t="shared" ref="AR56:AR67" si="43">AQ56*AP56</f>
        <v>9.9241667886483302</v>
      </c>
      <c r="AS56" s="7">
        <f t="shared" ref="AS56:AS67" si="44">AQ56*AQ$75/12</f>
        <v>0</v>
      </c>
      <c r="AT56" s="7" t="e">
        <f t="shared" ref="AT56:AT67" si="45">AS56/AS$70</f>
        <v>#DIV/0!</v>
      </c>
      <c r="AU56" s="23" t="e">
        <f t="shared" si="39"/>
        <v>#DIV/0!</v>
      </c>
    </row>
    <row r="57" spans="1:47" x14ac:dyDescent="0.2">
      <c r="A57" t="s">
        <v>21</v>
      </c>
      <c r="B57" t="s">
        <v>22</v>
      </c>
      <c r="C57" s="2">
        <v>1E-3</v>
      </c>
      <c r="D57">
        <f>+C57+dx</f>
        <v>1.0009999999999999</v>
      </c>
      <c r="E57">
        <f t="shared" ref="E57:W57" si="46">+D57+dx</f>
        <v>2.0009999999999999</v>
      </c>
      <c r="F57">
        <f t="shared" si="46"/>
        <v>3.0009999999999999</v>
      </c>
      <c r="G57">
        <f t="shared" si="46"/>
        <v>4.0009999999999994</v>
      </c>
      <c r="H57">
        <f t="shared" si="46"/>
        <v>5.0009999999999994</v>
      </c>
      <c r="I57">
        <f t="shared" si="46"/>
        <v>6.0009999999999994</v>
      </c>
      <c r="J57">
        <f t="shared" si="46"/>
        <v>7.0009999999999994</v>
      </c>
      <c r="K57">
        <f t="shared" si="46"/>
        <v>8.0009999999999994</v>
      </c>
      <c r="L57">
        <f t="shared" si="46"/>
        <v>9.0009999999999994</v>
      </c>
      <c r="M57">
        <f t="shared" si="46"/>
        <v>10.000999999999999</v>
      </c>
      <c r="N57">
        <f t="shared" si="46"/>
        <v>11.000999999999999</v>
      </c>
      <c r="O57">
        <f t="shared" si="46"/>
        <v>12.000999999999999</v>
      </c>
      <c r="P57">
        <f t="shared" si="46"/>
        <v>13.000999999999999</v>
      </c>
      <c r="Q57">
        <f t="shared" si="46"/>
        <v>14.000999999999999</v>
      </c>
      <c r="R57">
        <f t="shared" si="46"/>
        <v>15.000999999999999</v>
      </c>
      <c r="S57">
        <f t="shared" si="46"/>
        <v>16.000999999999998</v>
      </c>
      <c r="T57">
        <f t="shared" si="46"/>
        <v>17.000999999999998</v>
      </c>
      <c r="U57">
        <f t="shared" si="46"/>
        <v>18.000999999999998</v>
      </c>
      <c r="V57">
        <f t="shared" si="46"/>
        <v>19.000999999999998</v>
      </c>
      <c r="W57">
        <f t="shared" si="46"/>
        <v>20.000999999999998</v>
      </c>
      <c r="AD57" s="11">
        <f t="shared" ref="AD57:AD67" si="47">AD56+AG$75/12</f>
        <v>0</v>
      </c>
      <c r="AF57" s="26">
        <v>6.6161111923478932</v>
      </c>
      <c r="AG57" s="21">
        <v>2</v>
      </c>
      <c r="AH57" s="7">
        <f t="shared" si="40"/>
        <v>13.232222384695786</v>
      </c>
      <c r="AI57" s="7">
        <f t="shared" si="41"/>
        <v>0</v>
      </c>
      <c r="AJ57" s="7" t="e">
        <f t="shared" si="42"/>
        <v>#DIV/0!</v>
      </c>
      <c r="AK57" s="23" t="e">
        <f t="shared" si="38"/>
        <v>#DIV/0!</v>
      </c>
      <c r="AN57" s="11">
        <f t="shared" ref="AN57:AN67" si="48">AN56+AQ$75/12</f>
        <v>0</v>
      </c>
      <c r="AO57" s="7"/>
      <c r="AP57" s="26">
        <v>6.6161111923478932</v>
      </c>
      <c r="AQ57" s="21">
        <v>2</v>
      </c>
      <c r="AR57" s="7">
        <f t="shared" si="43"/>
        <v>13.232222384695786</v>
      </c>
      <c r="AS57" s="7">
        <f t="shared" si="44"/>
        <v>0</v>
      </c>
      <c r="AT57" s="7" t="e">
        <f t="shared" si="45"/>
        <v>#DIV/0!</v>
      </c>
      <c r="AU57" s="23" t="e">
        <f t="shared" si="39"/>
        <v>#DIV/0!</v>
      </c>
    </row>
    <row r="58" spans="1:47" x14ac:dyDescent="0.2">
      <c r="A58" s="1">
        <f t="shared" ref="A58:A66" si="49">+A59+dy</f>
        <v>5</v>
      </c>
      <c r="D58">
        <f t="shared" ref="D58:D78" si="50">EXP(D$57/(2*ax)*(1-(1+4*k*ax/(v))^0.5))</f>
        <v>0.99999999930630701</v>
      </c>
      <c r="E58">
        <f t="shared" ref="E58:W72" si="51">EXP(E$57/(2*ax)*(1-(1+4*k*ax/(v))^0.5))</f>
        <v>0.99999999861330702</v>
      </c>
      <c r="F58">
        <f t="shared" si="51"/>
        <v>0.99999999792030703</v>
      </c>
      <c r="G58">
        <f t="shared" si="51"/>
        <v>0.99999999722730704</v>
      </c>
      <c r="H58">
        <f t="shared" si="51"/>
        <v>0.99999999653430705</v>
      </c>
      <c r="I58">
        <f t="shared" si="51"/>
        <v>0.99999999584130705</v>
      </c>
      <c r="J58">
        <f t="shared" si="51"/>
        <v>0.99999999514830706</v>
      </c>
      <c r="K58">
        <f t="shared" si="51"/>
        <v>0.99999999445530707</v>
      </c>
      <c r="L58">
        <f t="shared" si="51"/>
        <v>0.99999999376230708</v>
      </c>
      <c r="M58">
        <f t="shared" si="51"/>
        <v>0.99999999306930709</v>
      </c>
      <c r="N58">
        <f t="shared" si="51"/>
        <v>0.9999999923763071</v>
      </c>
      <c r="O58">
        <f t="shared" si="51"/>
        <v>0.99999999168330711</v>
      </c>
      <c r="P58">
        <f t="shared" si="51"/>
        <v>0.99999999099030712</v>
      </c>
      <c r="Q58">
        <f t="shared" si="51"/>
        <v>0.99999999029730713</v>
      </c>
      <c r="R58">
        <f t="shared" si="51"/>
        <v>0.99999998960430714</v>
      </c>
      <c r="S58">
        <f t="shared" si="51"/>
        <v>0.99999998891130726</v>
      </c>
      <c r="T58">
        <f t="shared" si="51"/>
        <v>0.99999998821830727</v>
      </c>
      <c r="U58">
        <f t="shared" si="51"/>
        <v>0.99999998752530728</v>
      </c>
      <c r="V58">
        <f t="shared" si="51"/>
        <v>0.99999998683230729</v>
      </c>
      <c r="W58">
        <f t="shared" si="51"/>
        <v>0.9999999861393073</v>
      </c>
      <c r="AD58" s="11">
        <f t="shared" si="47"/>
        <v>0</v>
      </c>
      <c r="AF58" s="26">
        <v>9.9241667884796758</v>
      </c>
      <c r="AG58" s="21">
        <v>7</v>
      </c>
      <c r="AH58" s="7">
        <f t="shared" si="40"/>
        <v>69.469167519357725</v>
      </c>
      <c r="AI58" s="7">
        <f t="shared" si="41"/>
        <v>0</v>
      </c>
      <c r="AJ58" s="7" t="e">
        <f t="shared" si="42"/>
        <v>#DIV/0!</v>
      </c>
      <c r="AK58" s="23" t="e">
        <f t="shared" si="38"/>
        <v>#DIV/0!</v>
      </c>
      <c r="AN58" s="11">
        <f t="shared" si="48"/>
        <v>0</v>
      </c>
      <c r="AO58" s="7"/>
      <c r="AP58" s="26">
        <v>9.9241667884796758</v>
      </c>
      <c r="AQ58" s="21">
        <v>7</v>
      </c>
      <c r="AR58" s="7">
        <f t="shared" si="43"/>
        <v>69.469167519357725</v>
      </c>
      <c r="AS58" s="7">
        <f t="shared" si="44"/>
        <v>0</v>
      </c>
      <c r="AT58" s="7" t="e">
        <f t="shared" si="45"/>
        <v>#DIV/0!</v>
      </c>
      <c r="AU58" s="23" t="e">
        <f t="shared" si="39"/>
        <v>#DIV/0!</v>
      </c>
    </row>
    <row r="59" spans="1:47" x14ac:dyDescent="0.2">
      <c r="A59" s="1">
        <f t="shared" si="49"/>
        <v>4.5</v>
      </c>
      <c r="D59">
        <f t="shared" si="50"/>
        <v>0.99999999930630701</v>
      </c>
      <c r="E59">
        <f t="shared" ref="E59:S59" si="52">EXP(E$57/(2*ax)*(1-(1+4*k*ax/(v))^0.5))</f>
        <v>0.99999999861330702</v>
      </c>
      <c r="F59">
        <f t="shared" si="52"/>
        <v>0.99999999792030703</v>
      </c>
      <c r="G59">
        <f t="shared" si="52"/>
        <v>0.99999999722730704</v>
      </c>
      <c r="H59">
        <f t="shared" si="52"/>
        <v>0.99999999653430705</v>
      </c>
      <c r="I59">
        <f t="shared" si="52"/>
        <v>0.99999999584130705</v>
      </c>
      <c r="J59">
        <f t="shared" si="52"/>
        <v>0.99999999514830706</v>
      </c>
      <c r="K59">
        <f t="shared" si="52"/>
        <v>0.99999999445530707</v>
      </c>
      <c r="L59">
        <f t="shared" si="52"/>
        <v>0.99999999376230708</v>
      </c>
      <c r="M59">
        <f t="shared" si="52"/>
        <v>0.99999999306930709</v>
      </c>
      <c r="N59">
        <f t="shared" si="52"/>
        <v>0.9999999923763071</v>
      </c>
      <c r="O59">
        <f t="shared" si="52"/>
        <v>0.99999999168330711</v>
      </c>
      <c r="P59">
        <f t="shared" si="52"/>
        <v>0.99999999099030712</v>
      </c>
      <c r="Q59">
        <f t="shared" si="52"/>
        <v>0.99999999029730713</v>
      </c>
      <c r="R59">
        <f t="shared" si="52"/>
        <v>0.99999998960430714</v>
      </c>
      <c r="S59">
        <f t="shared" si="52"/>
        <v>0.99999998891130726</v>
      </c>
      <c r="T59">
        <f t="shared" si="51"/>
        <v>0.99999998821830727</v>
      </c>
      <c r="U59">
        <f t="shared" si="51"/>
        <v>0.99999998752530728</v>
      </c>
      <c r="V59">
        <f t="shared" si="51"/>
        <v>0.99999998683230729</v>
      </c>
      <c r="W59">
        <f t="shared" si="51"/>
        <v>0.9999999861393073</v>
      </c>
      <c r="AC59" s="7"/>
      <c r="AD59" s="11">
        <f t="shared" si="47"/>
        <v>0</v>
      </c>
      <c r="AF59" s="26">
        <v>13.232222384611459</v>
      </c>
      <c r="AG59" s="21">
        <v>16</v>
      </c>
      <c r="AH59" s="7">
        <f t="shared" si="40"/>
        <v>211.71555815378335</v>
      </c>
      <c r="AI59" s="7">
        <f t="shared" si="41"/>
        <v>0</v>
      </c>
      <c r="AJ59" s="7" t="e">
        <f t="shared" si="42"/>
        <v>#DIV/0!</v>
      </c>
      <c r="AK59" s="23" t="e">
        <f t="shared" si="38"/>
        <v>#DIV/0!</v>
      </c>
      <c r="AM59" s="7"/>
      <c r="AN59" s="11">
        <f t="shared" si="48"/>
        <v>0</v>
      </c>
      <c r="AO59" s="7"/>
      <c r="AP59" s="26">
        <v>13.232222384611459</v>
      </c>
      <c r="AQ59" s="21">
        <v>16</v>
      </c>
      <c r="AR59" s="7">
        <f t="shared" si="43"/>
        <v>211.71555815378335</v>
      </c>
      <c r="AS59" s="7">
        <f t="shared" si="44"/>
        <v>0</v>
      </c>
      <c r="AT59" s="7" t="e">
        <f t="shared" si="45"/>
        <v>#DIV/0!</v>
      </c>
      <c r="AU59" s="23" t="e">
        <f t="shared" si="39"/>
        <v>#DIV/0!</v>
      </c>
    </row>
    <row r="60" spans="1:47" x14ac:dyDescent="0.2">
      <c r="A60" s="1">
        <f t="shared" si="49"/>
        <v>4</v>
      </c>
      <c r="D60">
        <f t="shared" si="50"/>
        <v>0.99999999930630701</v>
      </c>
      <c r="E60">
        <f t="shared" si="51"/>
        <v>0.99999999861330702</v>
      </c>
      <c r="F60">
        <f t="shared" si="51"/>
        <v>0.99999999792030703</v>
      </c>
      <c r="G60">
        <f t="shared" si="51"/>
        <v>0.99999999722730704</v>
      </c>
      <c r="H60">
        <f t="shared" si="51"/>
        <v>0.99999999653430705</v>
      </c>
      <c r="I60">
        <f t="shared" si="51"/>
        <v>0.99999999584130705</v>
      </c>
      <c r="J60">
        <f t="shared" si="51"/>
        <v>0.99999999514830706</v>
      </c>
      <c r="K60">
        <f t="shared" si="51"/>
        <v>0.99999999445530707</v>
      </c>
      <c r="L60">
        <f t="shared" si="51"/>
        <v>0.99999999376230708</v>
      </c>
      <c r="M60">
        <f t="shared" si="51"/>
        <v>0.99999999306930709</v>
      </c>
      <c r="N60">
        <f t="shared" si="51"/>
        <v>0.9999999923763071</v>
      </c>
      <c r="O60">
        <f t="shared" si="51"/>
        <v>0.99999999168330711</v>
      </c>
      <c r="P60">
        <f t="shared" si="51"/>
        <v>0.99999999099030712</v>
      </c>
      <c r="Q60">
        <f t="shared" si="51"/>
        <v>0.99999999029730713</v>
      </c>
      <c r="R60">
        <f t="shared" si="51"/>
        <v>0.99999998960430714</v>
      </c>
      <c r="S60">
        <f t="shared" si="51"/>
        <v>0.99999998891130726</v>
      </c>
      <c r="T60">
        <f t="shared" si="51"/>
        <v>0.99999998821830727</v>
      </c>
      <c r="U60">
        <f t="shared" si="51"/>
        <v>0.99999998752530728</v>
      </c>
      <c r="V60">
        <f t="shared" si="51"/>
        <v>0.99999998683230729</v>
      </c>
      <c r="W60">
        <f t="shared" si="51"/>
        <v>0.9999999861393073</v>
      </c>
      <c r="AD60" s="11">
        <f t="shared" si="47"/>
        <v>0</v>
      </c>
      <c r="AF60" s="26">
        <v>16.540277980743241</v>
      </c>
      <c r="AG60" s="21">
        <v>19</v>
      </c>
      <c r="AH60" s="7">
        <f t="shared" si="40"/>
        <v>314.26528163412161</v>
      </c>
      <c r="AI60" s="7">
        <f t="shared" si="41"/>
        <v>0</v>
      </c>
      <c r="AJ60" s="7" t="e">
        <f t="shared" si="42"/>
        <v>#DIV/0!</v>
      </c>
      <c r="AK60" s="23" t="e">
        <f t="shared" si="38"/>
        <v>#DIV/0!</v>
      </c>
      <c r="AN60" s="11">
        <f t="shared" si="48"/>
        <v>0</v>
      </c>
      <c r="AO60" s="7"/>
      <c r="AP60" s="26">
        <v>16.540277980743241</v>
      </c>
      <c r="AQ60" s="21">
        <v>19</v>
      </c>
      <c r="AR60" s="7">
        <f t="shared" si="43"/>
        <v>314.26528163412161</v>
      </c>
      <c r="AS60" s="7">
        <f t="shared" si="44"/>
        <v>0</v>
      </c>
      <c r="AT60" s="7" t="e">
        <f t="shared" si="45"/>
        <v>#DIV/0!</v>
      </c>
      <c r="AU60" s="23" t="e">
        <f t="shared" si="39"/>
        <v>#DIV/0!</v>
      </c>
    </row>
    <row r="61" spans="1:47" x14ac:dyDescent="0.2">
      <c r="A61" s="1">
        <f t="shared" si="49"/>
        <v>3.5</v>
      </c>
      <c r="D61">
        <f t="shared" si="50"/>
        <v>0.99999999930630701</v>
      </c>
      <c r="E61">
        <f t="shared" si="51"/>
        <v>0.99999999861330702</v>
      </c>
      <c r="F61">
        <f t="shared" si="51"/>
        <v>0.99999999792030703</v>
      </c>
      <c r="G61">
        <f t="shared" si="51"/>
        <v>0.99999999722730704</v>
      </c>
      <c r="H61">
        <f t="shared" si="51"/>
        <v>0.99999999653430705</v>
      </c>
      <c r="I61">
        <f t="shared" si="51"/>
        <v>0.99999999584130705</v>
      </c>
      <c r="J61">
        <f t="shared" si="51"/>
        <v>0.99999999514830706</v>
      </c>
      <c r="K61">
        <f t="shared" si="51"/>
        <v>0.99999999445530707</v>
      </c>
      <c r="L61">
        <f t="shared" si="51"/>
        <v>0.99999999376230708</v>
      </c>
      <c r="M61">
        <f t="shared" si="51"/>
        <v>0.99999999306930709</v>
      </c>
      <c r="N61">
        <f t="shared" si="51"/>
        <v>0.9999999923763071</v>
      </c>
      <c r="O61">
        <f t="shared" si="51"/>
        <v>0.99999999168330711</v>
      </c>
      <c r="P61">
        <f t="shared" si="51"/>
        <v>0.99999999099030712</v>
      </c>
      <c r="Q61">
        <f t="shared" si="51"/>
        <v>0.99999999029730713</v>
      </c>
      <c r="R61">
        <f t="shared" si="51"/>
        <v>0.99999998960430714</v>
      </c>
      <c r="S61">
        <f t="shared" si="51"/>
        <v>0.99999998891130726</v>
      </c>
      <c r="T61">
        <f t="shared" si="51"/>
        <v>0.99999998821830727</v>
      </c>
      <c r="U61">
        <f t="shared" si="51"/>
        <v>0.99999998752530728</v>
      </c>
      <c r="V61">
        <f t="shared" si="51"/>
        <v>0.99999998683230729</v>
      </c>
      <c r="W61">
        <f t="shared" si="51"/>
        <v>0.9999999861393073</v>
      </c>
      <c r="AD61" s="11">
        <f t="shared" si="47"/>
        <v>0</v>
      </c>
      <c r="AF61" s="26">
        <v>19.848333576875024</v>
      </c>
      <c r="AG61" s="21">
        <v>28</v>
      </c>
      <c r="AH61" s="7">
        <f t="shared" si="40"/>
        <v>555.75334015250064</v>
      </c>
      <c r="AI61" s="7">
        <f t="shared" si="41"/>
        <v>0</v>
      </c>
      <c r="AJ61" s="7" t="e">
        <f t="shared" si="42"/>
        <v>#DIV/0!</v>
      </c>
      <c r="AK61" s="23" t="e">
        <f t="shared" si="38"/>
        <v>#DIV/0!</v>
      </c>
      <c r="AN61" s="11">
        <f t="shared" si="48"/>
        <v>0</v>
      </c>
      <c r="AO61" s="7"/>
      <c r="AP61" s="26">
        <v>19.848333576875024</v>
      </c>
      <c r="AQ61" s="21">
        <v>28</v>
      </c>
      <c r="AR61" s="7">
        <f t="shared" si="43"/>
        <v>555.75334015250064</v>
      </c>
      <c r="AS61" s="7">
        <f t="shared" si="44"/>
        <v>0</v>
      </c>
      <c r="AT61" s="7" t="e">
        <f t="shared" si="45"/>
        <v>#DIV/0!</v>
      </c>
      <c r="AU61" s="23" t="e">
        <f t="shared" si="39"/>
        <v>#DIV/0!</v>
      </c>
    </row>
    <row r="62" spans="1:47" x14ac:dyDescent="0.2">
      <c r="A62" s="1">
        <f t="shared" si="49"/>
        <v>3</v>
      </c>
      <c r="D62">
        <f t="shared" si="50"/>
        <v>0.99999999930630701</v>
      </c>
      <c r="E62">
        <f t="shared" si="51"/>
        <v>0.99999999861330702</v>
      </c>
      <c r="F62">
        <f t="shared" si="51"/>
        <v>0.99999999792030703</v>
      </c>
      <c r="G62">
        <f t="shared" si="51"/>
        <v>0.99999999722730704</v>
      </c>
      <c r="H62">
        <f t="shared" si="51"/>
        <v>0.99999999653430705</v>
      </c>
      <c r="I62">
        <f t="shared" si="51"/>
        <v>0.99999999584130705</v>
      </c>
      <c r="J62">
        <f t="shared" si="51"/>
        <v>0.99999999514830706</v>
      </c>
      <c r="K62">
        <f t="shared" si="51"/>
        <v>0.99999999445530707</v>
      </c>
      <c r="L62">
        <f t="shared" si="51"/>
        <v>0.99999999376230708</v>
      </c>
      <c r="M62">
        <f t="shared" si="51"/>
        <v>0.99999999306930709</v>
      </c>
      <c r="N62">
        <f t="shared" si="51"/>
        <v>0.9999999923763071</v>
      </c>
      <c r="O62">
        <f t="shared" si="51"/>
        <v>0.99999999168330711</v>
      </c>
      <c r="P62">
        <f t="shared" si="51"/>
        <v>0.99999999099030712</v>
      </c>
      <c r="Q62">
        <f t="shared" si="51"/>
        <v>0.99999999029730713</v>
      </c>
      <c r="R62">
        <f t="shared" si="51"/>
        <v>0.99999998960430714</v>
      </c>
      <c r="S62">
        <f t="shared" si="51"/>
        <v>0.99999998891130726</v>
      </c>
      <c r="T62">
        <f t="shared" si="51"/>
        <v>0.99999998821830727</v>
      </c>
      <c r="U62">
        <f t="shared" si="51"/>
        <v>0.99999998752530728</v>
      </c>
      <c r="V62">
        <f t="shared" si="51"/>
        <v>0.99999998683230729</v>
      </c>
      <c r="W62">
        <f t="shared" si="51"/>
        <v>0.9999999861393073</v>
      </c>
      <c r="AD62" s="11">
        <f t="shared" si="47"/>
        <v>0</v>
      </c>
      <c r="AF62" s="26">
        <v>23.156389173006808</v>
      </c>
      <c r="AG62" s="21">
        <v>38</v>
      </c>
      <c r="AH62" s="7">
        <f t="shared" si="40"/>
        <v>879.94278857425866</v>
      </c>
      <c r="AI62" s="7">
        <f t="shared" si="41"/>
        <v>0</v>
      </c>
      <c r="AJ62" s="7" t="e">
        <f t="shared" si="42"/>
        <v>#DIV/0!</v>
      </c>
      <c r="AK62" s="23" t="e">
        <f t="shared" si="38"/>
        <v>#DIV/0!</v>
      </c>
      <c r="AN62" s="11">
        <f t="shared" si="48"/>
        <v>0</v>
      </c>
      <c r="AO62" s="7"/>
      <c r="AP62" s="26">
        <v>23.156389173006808</v>
      </c>
      <c r="AQ62" s="21">
        <v>38</v>
      </c>
      <c r="AR62" s="7">
        <f t="shared" si="43"/>
        <v>879.94278857425866</v>
      </c>
      <c r="AS62" s="7">
        <f t="shared" si="44"/>
        <v>0</v>
      </c>
      <c r="AT62" s="7" t="e">
        <f t="shared" si="45"/>
        <v>#DIV/0!</v>
      </c>
      <c r="AU62" s="23" t="e">
        <f t="shared" si="39"/>
        <v>#DIV/0!</v>
      </c>
    </row>
    <row r="63" spans="1:47" x14ac:dyDescent="0.2">
      <c r="A63" s="1">
        <f t="shared" si="49"/>
        <v>2.5</v>
      </c>
      <c r="D63">
        <f t="shared" si="50"/>
        <v>0.99999999930630701</v>
      </c>
      <c r="E63">
        <f t="shared" si="51"/>
        <v>0.99999999861330702</v>
      </c>
      <c r="F63">
        <f t="shared" si="51"/>
        <v>0.99999999792030703</v>
      </c>
      <c r="G63">
        <f t="shared" si="51"/>
        <v>0.99999999722730704</v>
      </c>
      <c r="H63">
        <f t="shared" si="51"/>
        <v>0.99999999653430705</v>
      </c>
      <c r="I63">
        <f t="shared" si="51"/>
        <v>0.99999999584130705</v>
      </c>
      <c r="J63">
        <f t="shared" si="51"/>
        <v>0.99999999514830706</v>
      </c>
      <c r="K63">
        <f t="shared" si="51"/>
        <v>0.99999999445530707</v>
      </c>
      <c r="L63">
        <f t="shared" si="51"/>
        <v>0.99999999376230708</v>
      </c>
      <c r="M63">
        <f t="shared" si="51"/>
        <v>0.99999999306930709</v>
      </c>
      <c r="N63">
        <f t="shared" si="51"/>
        <v>0.9999999923763071</v>
      </c>
      <c r="O63">
        <f t="shared" si="51"/>
        <v>0.99999999168330711</v>
      </c>
      <c r="P63">
        <f t="shared" si="51"/>
        <v>0.99999999099030712</v>
      </c>
      <c r="Q63">
        <f t="shared" si="51"/>
        <v>0.99999999029730713</v>
      </c>
      <c r="R63">
        <f t="shared" si="51"/>
        <v>0.99999998960430714</v>
      </c>
      <c r="S63">
        <f t="shared" si="51"/>
        <v>0.99999998891130726</v>
      </c>
      <c r="T63">
        <f t="shared" si="51"/>
        <v>0.99999998821830727</v>
      </c>
      <c r="U63">
        <f t="shared" si="51"/>
        <v>0.99999998752530728</v>
      </c>
      <c r="V63">
        <f t="shared" si="51"/>
        <v>0.99999998683230729</v>
      </c>
      <c r="W63">
        <f t="shared" si="51"/>
        <v>0.9999999861393073</v>
      </c>
      <c r="AD63" s="11">
        <f t="shared" si="47"/>
        <v>0</v>
      </c>
      <c r="AF63" s="26">
        <v>26.464444769138591</v>
      </c>
      <c r="AG63" s="21">
        <v>35</v>
      </c>
      <c r="AH63" s="7">
        <f t="shared" si="40"/>
        <v>926.25556691985071</v>
      </c>
      <c r="AI63" s="7">
        <f t="shared" si="41"/>
        <v>0</v>
      </c>
      <c r="AJ63" s="7" t="e">
        <f t="shared" si="42"/>
        <v>#DIV/0!</v>
      </c>
      <c r="AK63" s="23" t="e">
        <f t="shared" si="38"/>
        <v>#DIV/0!</v>
      </c>
      <c r="AN63" s="11">
        <f t="shared" si="48"/>
        <v>0</v>
      </c>
      <c r="AO63" s="7"/>
      <c r="AP63" s="26">
        <v>26.464444769138591</v>
      </c>
      <c r="AQ63" s="21">
        <v>35</v>
      </c>
      <c r="AR63" s="7">
        <f t="shared" si="43"/>
        <v>926.25556691985071</v>
      </c>
      <c r="AS63" s="7">
        <f t="shared" si="44"/>
        <v>0</v>
      </c>
      <c r="AT63" s="7" t="e">
        <f t="shared" si="45"/>
        <v>#DIV/0!</v>
      </c>
      <c r="AU63" s="23" t="e">
        <f t="shared" si="39"/>
        <v>#DIV/0!</v>
      </c>
    </row>
    <row r="64" spans="1:47" x14ac:dyDescent="0.2">
      <c r="A64" s="1">
        <f t="shared" si="49"/>
        <v>2</v>
      </c>
      <c r="D64">
        <f t="shared" si="50"/>
        <v>0.99999999930630701</v>
      </c>
      <c r="E64">
        <f t="shared" si="51"/>
        <v>0.99999999861330702</v>
      </c>
      <c r="F64">
        <f t="shared" si="51"/>
        <v>0.99999999792030703</v>
      </c>
      <c r="G64">
        <f t="shared" si="51"/>
        <v>0.99999999722730704</v>
      </c>
      <c r="H64">
        <f t="shared" si="51"/>
        <v>0.99999999653430705</v>
      </c>
      <c r="I64">
        <f t="shared" si="51"/>
        <v>0.99999999584130705</v>
      </c>
      <c r="J64">
        <f t="shared" si="51"/>
        <v>0.99999999514830706</v>
      </c>
      <c r="K64">
        <f t="shared" si="51"/>
        <v>0.99999999445530707</v>
      </c>
      <c r="L64">
        <f t="shared" si="51"/>
        <v>0.99999999376230708</v>
      </c>
      <c r="M64">
        <f t="shared" si="51"/>
        <v>0.99999999306930709</v>
      </c>
      <c r="N64">
        <f t="shared" si="51"/>
        <v>0.9999999923763071</v>
      </c>
      <c r="O64">
        <f t="shared" si="51"/>
        <v>0.99999999168330711</v>
      </c>
      <c r="P64">
        <f t="shared" si="51"/>
        <v>0.99999999099030712</v>
      </c>
      <c r="Q64">
        <f t="shared" si="51"/>
        <v>0.99999999029730713</v>
      </c>
      <c r="R64">
        <f t="shared" si="51"/>
        <v>0.99999998960430714</v>
      </c>
      <c r="S64">
        <f t="shared" si="51"/>
        <v>0.99999998891130726</v>
      </c>
      <c r="T64">
        <f t="shared" si="51"/>
        <v>0.99999998821830727</v>
      </c>
      <c r="U64">
        <f t="shared" si="51"/>
        <v>0.99999998752530728</v>
      </c>
      <c r="V64">
        <f t="shared" si="51"/>
        <v>0.99999998683230729</v>
      </c>
      <c r="W64">
        <f t="shared" si="51"/>
        <v>0.9999999861393073</v>
      </c>
      <c r="AD64" s="11">
        <f t="shared" si="47"/>
        <v>0</v>
      </c>
      <c r="AF64" s="26">
        <v>29.772500365270375</v>
      </c>
      <c r="AG64" s="21">
        <v>24</v>
      </c>
      <c r="AH64" s="7">
        <f t="shared" si="40"/>
        <v>714.540008766489</v>
      </c>
      <c r="AI64" s="7">
        <f t="shared" si="41"/>
        <v>0</v>
      </c>
      <c r="AJ64" s="7" t="e">
        <f t="shared" si="42"/>
        <v>#DIV/0!</v>
      </c>
      <c r="AK64" s="23" t="e">
        <f t="shared" si="38"/>
        <v>#DIV/0!</v>
      </c>
      <c r="AN64" s="11">
        <f t="shared" si="48"/>
        <v>0</v>
      </c>
      <c r="AO64" s="7"/>
      <c r="AP64" s="26">
        <v>29.772500365270375</v>
      </c>
      <c r="AQ64" s="21">
        <v>24</v>
      </c>
      <c r="AR64" s="7">
        <f t="shared" si="43"/>
        <v>714.540008766489</v>
      </c>
      <c r="AS64" s="7">
        <f t="shared" si="44"/>
        <v>0</v>
      </c>
      <c r="AT64" s="7" t="e">
        <f t="shared" si="45"/>
        <v>#DIV/0!</v>
      </c>
      <c r="AU64" s="23" t="e">
        <f t="shared" si="39"/>
        <v>#DIV/0!</v>
      </c>
    </row>
    <row r="65" spans="1:47" x14ac:dyDescent="0.2">
      <c r="A65" s="1">
        <f t="shared" si="49"/>
        <v>1.5</v>
      </c>
      <c r="D65">
        <f t="shared" si="50"/>
        <v>0.99999999930630701</v>
      </c>
      <c r="E65">
        <f t="shared" si="51"/>
        <v>0.99999999861330702</v>
      </c>
      <c r="F65">
        <f t="shared" si="51"/>
        <v>0.99999999792030703</v>
      </c>
      <c r="G65">
        <f t="shared" si="51"/>
        <v>0.99999999722730704</v>
      </c>
      <c r="H65">
        <f t="shared" si="51"/>
        <v>0.99999999653430705</v>
      </c>
      <c r="I65">
        <f t="shared" si="51"/>
        <v>0.99999999584130705</v>
      </c>
      <c r="J65">
        <f t="shared" si="51"/>
        <v>0.99999999514830706</v>
      </c>
      <c r="K65">
        <f t="shared" si="51"/>
        <v>0.99999999445530707</v>
      </c>
      <c r="L65">
        <f t="shared" si="51"/>
        <v>0.99999999376230708</v>
      </c>
      <c r="M65">
        <f t="shared" si="51"/>
        <v>0.99999999306930709</v>
      </c>
      <c r="N65">
        <f t="shared" si="51"/>
        <v>0.9999999923763071</v>
      </c>
      <c r="O65">
        <f t="shared" si="51"/>
        <v>0.99999999168330711</v>
      </c>
      <c r="P65">
        <f t="shared" si="51"/>
        <v>0.99999999099030712</v>
      </c>
      <c r="Q65">
        <f t="shared" si="51"/>
        <v>0.99999999029730713</v>
      </c>
      <c r="R65">
        <f t="shared" si="51"/>
        <v>0.99999998960430714</v>
      </c>
      <c r="S65">
        <f t="shared" si="51"/>
        <v>0.99999998891130726</v>
      </c>
      <c r="T65">
        <f t="shared" si="51"/>
        <v>0.99999998821830727</v>
      </c>
      <c r="U65">
        <f t="shared" si="51"/>
        <v>0.99999998752530728</v>
      </c>
      <c r="V65">
        <f t="shared" si="51"/>
        <v>0.99999998683230729</v>
      </c>
      <c r="W65">
        <f t="shared" si="51"/>
        <v>0.9999999861393073</v>
      </c>
      <c r="AD65" s="11">
        <f t="shared" si="47"/>
        <v>0</v>
      </c>
      <c r="AF65" s="26">
        <v>33.080555961402155</v>
      </c>
      <c r="AG65" s="21">
        <v>14</v>
      </c>
      <c r="AH65" s="7">
        <f t="shared" si="40"/>
        <v>463.12778345963017</v>
      </c>
      <c r="AI65" s="7">
        <f t="shared" si="41"/>
        <v>0</v>
      </c>
      <c r="AJ65" s="7" t="e">
        <f t="shared" si="42"/>
        <v>#DIV/0!</v>
      </c>
      <c r="AK65" s="23" t="e">
        <f t="shared" si="38"/>
        <v>#DIV/0!</v>
      </c>
      <c r="AN65" s="11">
        <f t="shared" si="48"/>
        <v>0</v>
      </c>
      <c r="AO65" s="7"/>
      <c r="AP65" s="26">
        <v>33.080555961402155</v>
      </c>
      <c r="AQ65" s="21">
        <v>14</v>
      </c>
      <c r="AR65" s="7">
        <f t="shared" si="43"/>
        <v>463.12778345963017</v>
      </c>
      <c r="AS65" s="7">
        <f t="shared" si="44"/>
        <v>0</v>
      </c>
      <c r="AT65" s="7" t="e">
        <f t="shared" si="45"/>
        <v>#DIV/0!</v>
      </c>
      <c r="AU65" s="23" t="e">
        <f t="shared" si="39"/>
        <v>#DIV/0!</v>
      </c>
    </row>
    <row r="66" spans="1:47" x14ac:dyDescent="0.2">
      <c r="A66" s="1">
        <f t="shared" si="49"/>
        <v>1</v>
      </c>
      <c r="D66">
        <f t="shared" si="50"/>
        <v>0.99999999930630701</v>
      </c>
      <c r="E66">
        <f t="shared" si="51"/>
        <v>0.99999999861330702</v>
      </c>
      <c r="F66">
        <f t="shared" si="51"/>
        <v>0.99999999792030703</v>
      </c>
      <c r="G66">
        <f t="shared" si="51"/>
        <v>0.99999999722730704</v>
      </c>
      <c r="H66">
        <f t="shared" si="51"/>
        <v>0.99999999653430705</v>
      </c>
      <c r="I66">
        <f t="shared" si="51"/>
        <v>0.99999999584130705</v>
      </c>
      <c r="J66">
        <f t="shared" si="51"/>
        <v>0.99999999514830706</v>
      </c>
      <c r="K66">
        <f t="shared" si="51"/>
        <v>0.99999999445530707</v>
      </c>
      <c r="L66">
        <f t="shared" si="51"/>
        <v>0.99999999376230708</v>
      </c>
      <c r="M66">
        <f t="shared" si="51"/>
        <v>0.99999999306930709</v>
      </c>
      <c r="N66">
        <f t="shared" si="51"/>
        <v>0.9999999923763071</v>
      </c>
      <c r="O66">
        <f t="shared" si="51"/>
        <v>0.99999999168330711</v>
      </c>
      <c r="P66">
        <f t="shared" si="51"/>
        <v>0.99999999099030712</v>
      </c>
      <c r="Q66">
        <f t="shared" si="51"/>
        <v>0.99999999029730713</v>
      </c>
      <c r="R66">
        <f t="shared" si="51"/>
        <v>0.99999998960430714</v>
      </c>
      <c r="S66">
        <f t="shared" si="51"/>
        <v>0.99999998891130726</v>
      </c>
      <c r="T66">
        <f t="shared" si="51"/>
        <v>0.99999998821830727</v>
      </c>
      <c r="U66">
        <f t="shared" si="51"/>
        <v>0.99999998752530728</v>
      </c>
      <c r="V66">
        <f t="shared" si="51"/>
        <v>0.99999998683230729</v>
      </c>
      <c r="W66">
        <f t="shared" si="51"/>
        <v>0.9999999861393073</v>
      </c>
      <c r="AD66" s="11">
        <f t="shared" si="47"/>
        <v>0</v>
      </c>
      <c r="AF66" s="26">
        <v>36.388611557533935</v>
      </c>
      <c r="AG66" s="21">
        <v>8</v>
      </c>
      <c r="AH66" s="7">
        <f t="shared" si="40"/>
        <v>291.10889246027148</v>
      </c>
      <c r="AI66" s="7">
        <f t="shared" si="41"/>
        <v>0</v>
      </c>
      <c r="AJ66" s="7" t="e">
        <f t="shared" si="42"/>
        <v>#DIV/0!</v>
      </c>
      <c r="AK66" s="23" t="e">
        <f>AJ66+AK67</f>
        <v>#DIV/0!</v>
      </c>
      <c r="AN66" s="11">
        <f t="shared" si="48"/>
        <v>0</v>
      </c>
      <c r="AO66" s="7"/>
      <c r="AP66" s="26">
        <v>36.388611557533935</v>
      </c>
      <c r="AQ66" s="21">
        <v>8</v>
      </c>
      <c r="AR66" s="7">
        <f t="shared" si="43"/>
        <v>291.10889246027148</v>
      </c>
      <c r="AS66" s="7">
        <f t="shared" si="44"/>
        <v>0</v>
      </c>
      <c r="AT66" s="7" t="e">
        <f t="shared" si="45"/>
        <v>#DIV/0!</v>
      </c>
      <c r="AU66" s="23" t="e">
        <f>AT66+AU67</f>
        <v>#DIV/0!</v>
      </c>
    </row>
    <row r="67" spans="1:47" x14ac:dyDescent="0.2">
      <c r="A67" s="1">
        <f>+A68+dy</f>
        <v>0.5</v>
      </c>
      <c r="D67">
        <f t="shared" si="50"/>
        <v>0.99999999930630701</v>
      </c>
      <c r="E67">
        <f t="shared" si="51"/>
        <v>0.99999999861330702</v>
      </c>
      <c r="F67">
        <f t="shared" si="51"/>
        <v>0.99999999792030703</v>
      </c>
      <c r="G67">
        <f t="shared" si="51"/>
        <v>0.99999999722730704</v>
      </c>
      <c r="H67">
        <f t="shared" si="51"/>
        <v>0.99999999653430705</v>
      </c>
      <c r="I67">
        <f t="shared" si="51"/>
        <v>0.99999999584130705</v>
      </c>
      <c r="J67">
        <f t="shared" si="51"/>
        <v>0.99999999514830706</v>
      </c>
      <c r="K67">
        <f t="shared" si="51"/>
        <v>0.99999999445530707</v>
      </c>
      <c r="L67">
        <f t="shared" si="51"/>
        <v>0.99999999376230708</v>
      </c>
      <c r="M67">
        <f t="shared" si="51"/>
        <v>0.99999999306930709</v>
      </c>
      <c r="N67">
        <f t="shared" si="51"/>
        <v>0.9999999923763071</v>
      </c>
      <c r="O67">
        <f t="shared" si="51"/>
        <v>0.99999999168330711</v>
      </c>
      <c r="P67">
        <f t="shared" si="51"/>
        <v>0.99999999099030712</v>
      </c>
      <c r="Q67">
        <f t="shared" si="51"/>
        <v>0.99999999029730713</v>
      </c>
      <c r="R67">
        <f t="shared" si="51"/>
        <v>0.99999998960430714</v>
      </c>
      <c r="S67">
        <f t="shared" si="51"/>
        <v>0.99999998891130726</v>
      </c>
      <c r="T67">
        <f t="shared" si="51"/>
        <v>0.99999998821830727</v>
      </c>
      <c r="U67">
        <f t="shared" si="51"/>
        <v>0.99999998752530728</v>
      </c>
      <c r="V67">
        <f t="shared" si="51"/>
        <v>0.99999998683230729</v>
      </c>
      <c r="W67">
        <f t="shared" si="51"/>
        <v>0.9999999861393073</v>
      </c>
      <c r="AD67" s="11">
        <f t="shared" si="47"/>
        <v>0</v>
      </c>
      <c r="AF67" s="26">
        <v>39.696667153665715</v>
      </c>
      <c r="AG67" s="21">
        <v>4</v>
      </c>
      <c r="AH67" s="7">
        <f t="shared" si="40"/>
        <v>158.78666861466286</v>
      </c>
      <c r="AI67" s="7">
        <f t="shared" si="41"/>
        <v>0</v>
      </c>
      <c r="AJ67" s="7" t="e">
        <f t="shared" si="42"/>
        <v>#DIV/0!</v>
      </c>
      <c r="AK67" s="23" t="e">
        <f>AJ67</f>
        <v>#DIV/0!</v>
      </c>
      <c r="AN67" s="11">
        <f t="shared" si="48"/>
        <v>0</v>
      </c>
      <c r="AO67" s="7"/>
      <c r="AP67" s="26">
        <v>39.696667153665715</v>
      </c>
      <c r="AQ67" s="21">
        <v>4</v>
      </c>
      <c r="AR67" s="7">
        <f t="shared" si="43"/>
        <v>158.78666861466286</v>
      </c>
      <c r="AS67" s="7">
        <f t="shared" si="44"/>
        <v>0</v>
      </c>
      <c r="AT67" s="7" t="e">
        <f t="shared" si="45"/>
        <v>#DIV/0!</v>
      </c>
      <c r="AU67" s="23" t="e">
        <f>AT67</f>
        <v>#DIV/0!</v>
      </c>
    </row>
    <row r="68" spans="1:47" ht="13.5" thickBot="1" x14ac:dyDescent="0.25">
      <c r="A68" s="1">
        <v>0</v>
      </c>
      <c r="D68">
        <f t="shared" si="50"/>
        <v>0.99999999930630701</v>
      </c>
      <c r="E68">
        <f t="shared" si="51"/>
        <v>0.99999999861330702</v>
      </c>
      <c r="F68">
        <f t="shared" si="51"/>
        <v>0.99999999792030703</v>
      </c>
      <c r="G68">
        <f t="shared" si="51"/>
        <v>0.99999999722730704</v>
      </c>
      <c r="H68">
        <f t="shared" si="51"/>
        <v>0.99999999653430705</v>
      </c>
      <c r="I68">
        <f t="shared" si="51"/>
        <v>0.99999999584130705</v>
      </c>
      <c r="J68">
        <f t="shared" si="51"/>
        <v>0.99999999514830706</v>
      </c>
      <c r="K68">
        <f t="shared" si="51"/>
        <v>0.99999999445530707</v>
      </c>
      <c r="L68">
        <f t="shared" si="51"/>
        <v>0.99999999376230708</v>
      </c>
      <c r="M68">
        <f t="shared" si="51"/>
        <v>0.99999999306930709</v>
      </c>
      <c r="N68">
        <f t="shared" si="51"/>
        <v>0.9999999923763071</v>
      </c>
      <c r="O68">
        <f t="shared" si="51"/>
        <v>0.99999999168330711</v>
      </c>
      <c r="P68">
        <f t="shared" si="51"/>
        <v>0.99999999099030712</v>
      </c>
      <c r="Q68">
        <f t="shared" si="51"/>
        <v>0.99999999029730713</v>
      </c>
      <c r="R68">
        <f t="shared" si="51"/>
        <v>0.99999998960430714</v>
      </c>
      <c r="S68">
        <f t="shared" si="51"/>
        <v>0.99999998891130726</v>
      </c>
      <c r="T68">
        <f t="shared" si="51"/>
        <v>0.99999998821830727</v>
      </c>
      <c r="U68">
        <f t="shared" si="51"/>
        <v>0.99999998752530728</v>
      </c>
      <c r="V68">
        <f t="shared" si="51"/>
        <v>0.99999998683230729</v>
      </c>
      <c r="W68">
        <f t="shared" si="51"/>
        <v>0.9999999861393073</v>
      </c>
      <c r="AF68" s="22" t="s">
        <v>39</v>
      </c>
      <c r="AG68" s="22">
        <v>1</v>
      </c>
      <c r="AH68" s="18"/>
      <c r="AI68" s="17"/>
      <c r="AJ68" s="17"/>
      <c r="AK68" s="17"/>
      <c r="AN68" s="7"/>
      <c r="AO68" s="7"/>
      <c r="AP68" s="22" t="s">
        <v>39</v>
      </c>
      <c r="AQ68" s="22">
        <v>1</v>
      </c>
      <c r="AR68" s="18"/>
      <c r="AS68" s="17"/>
      <c r="AT68" s="17"/>
      <c r="AU68" s="17"/>
    </row>
    <row r="69" spans="1:47" x14ac:dyDescent="0.2">
      <c r="A69" s="1">
        <f>+A68+dy</f>
        <v>0.5</v>
      </c>
      <c r="D69">
        <f t="shared" si="50"/>
        <v>0.99999999930630701</v>
      </c>
      <c r="E69">
        <f t="shared" si="51"/>
        <v>0.99999999861330702</v>
      </c>
      <c r="F69">
        <f t="shared" si="51"/>
        <v>0.99999999792030703</v>
      </c>
      <c r="G69">
        <f t="shared" si="51"/>
        <v>0.99999999722730704</v>
      </c>
      <c r="H69">
        <f t="shared" si="51"/>
        <v>0.99999999653430705</v>
      </c>
      <c r="I69">
        <f t="shared" si="51"/>
        <v>0.99999999584130705</v>
      </c>
      <c r="J69">
        <f t="shared" si="51"/>
        <v>0.99999999514830706</v>
      </c>
      <c r="K69">
        <f t="shared" si="51"/>
        <v>0.99999999445530707</v>
      </c>
      <c r="L69">
        <f t="shared" si="51"/>
        <v>0.99999999376230708</v>
      </c>
      <c r="M69">
        <f t="shared" si="51"/>
        <v>0.99999999306930709</v>
      </c>
      <c r="N69">
        <f t="shared" si="51"/>
        <v>0.9999999923763071</v>
      </c>
      <c r="O69">
        <f t="shared" si="51"/>
        <v>0.99999999168330711</v>
      </c>
      <c r="P69">
        <f t="shared" si="51"/>
        <v>0.99999999099030712</v>
      </c>
      <c r="Q69">
        <f t="shared" si="51"/>
        <v>0.99999999029730713</v>
      </c>
      <c r="R69">
        <f t="shared" si="51"/>
        <v>0.99999998960430714</v>
      </c>
      <c r="S69">
        <f t="shared" si="51"/>
        <v>0.99999998891130726</v>
      </c>
      <c r="T69">
        <f t="shared" si="51"/>
        <v>0.99999998821830727</v>
      </c>
      <c r="U69">
        <f t="shared" si="51"/>
        <v>0.99999998752530728</v>
      </c>
      <c r="V69">
        <f t="shared" si="51"/>
        <v>0.99999998683230729</v>
      </c>
      <c r="W69">
        <f t="shared" si="51"/>
        <v>0.9999999861393073</v>
      </c>
      <c r="AF69" s="7" t="s">
        <v>53</v>
      </c>
      <c r="AG69" s="7">
        <f>SUM(AG55:AG68)</f>
        <v>200</v>
      </c>
      <c r="AH69" s="17">
        <f>SUM(AH55:AH67)</f>
        <v>4608.1214454283545</v>
      </c>
      <c r="AI69" s="16"/>
      <c r="AJ69" s="16"/>
      <c r="AK69" s="16"/>
      <c r="AN69" s="7"/>
      <c r="AO69" s="7"/>
      <c r="AP69" s="7" t="s">
        <v>53</v>
      </c>
      <c r="AQ69" s="7">
        <f>SUM(AQ55:AQ68)</f>
        <v>200</v>
      </c>
      <c r="AR69" s="17">
        <f>SUM(AR55:AR67)</f>
        <v>4608.1214454283545</v>
      </c>
      <c r="AS69" s="16"/>
      <c r="AT69" s="16"/>
      <c r="AU69" s="16"/>
    </row>
    <row r="70" spans="1:47" x14ac:dyDescent="0.2">
      <c r="A70" s="1">
        <f t="shared" ref="A70:A78" si="53">+A69+dy</f>
        <v>1</v>
      </c>
      <c r="D70">
        <f t="shared" si="50"/>
        <v>0.99999999930630701</v>
      </c>
      <c r="E70">
        <f t="shared" si="51"/>
        <v>0.99999999861330702</v>
      </c>
      <c r="F70">
        <f t="shared" si="51"/>
        <v>0.99999999792030703</v>
      </c>
      <c r="G70">
        <f t="shared" si="51"/>
        <v>0.99999999722730704</v>
      </c>
      <c r="H70">
        <f t="shared" si="51"/>
        <v>0.99999999653430705</v>
      </c>
      <c r="I70">
        <f t="shared" si="51"/>
        <v>0.99999999584130705</v>
      </c>
      <c r="J70">
        <f t="shared" si="51"/>
        <v>0.99999999514830706</v>
      </c>
      <c r="K70">
        <f t="shared" si="51"/>
        <v>0.99999999445530707</v>
      </c>
      <c r="L70">
        <f t="shared" si="51"/>
        <v>0.99999999376230708</v>
      </c>
      <c r="M70">
        <f t="shared" si="51"/>
        <v>0.99999999306930709</v>
      </c>
      <c r="N70">
        <f t="shared" si="51"/>
        <v>0.9999999923763071</v>
      </c>
      <c r="O70">
        <f t="shared" si="51"/>
        <v>0.99999999168330711</v>
      </c>
      <c r="P70">
        <f t="shared" si="51"/>
        <v>0.99999999099030712</v>
      </c>
      <c r="Q70">
        <f t="shared" si="51"/>
        <v>0.99999999029730713</v>
      </c>
      <c r="R70">
        <f t="shared" si="51"/>
        <v>0.99999998960430714</v>
      </c>
      <c r="S70">
        <f t="shared" si="51"/>
        <v>0.99999998891130726</v>
      </c>
      <c r="T70">
        <f t="shared" si="51"/>
        <v>0.99999998821830727</v>
      </c>
      <c r="U70">
        <f t="shared" si="51"/>
        <v>0.99999998752530728</v>
      </c>
      <c r="V70">
        <f t="shared" si="51"/>
        <v>0.99999998683230729</v>
      </c>
      <c r="W70">
        <f t="shared" si="51"/>
        <v>0.9999999861393073</v>
      </c>
      <c r="AF70" s="17" t="s">
        <v>54</v>
      </c>
      <c r="AG70" s="17"/>
      <c r="AI70" s="17">
        <f>SUM(AI55:AI67)</f>
        <v>0</v>
      </c>
      <c r="AJ70" s="17"/>
      <c r="AK70" s="17"/>
      <c r="AN70" s="7"/>
      <c r="AO70" s="7"/>
      <c r="AP70" s="17" t="s">
        <v>54</v>
      </c>
      <c r="AQ70" s="17"/>
      <c r="AR70" s="7"/>
      <c r="AS70" s="17">
        <f>SUM(AS55:AS67)</f>
        <v>0</v>
      </c>
      <c r="AT70" s="17"/>
      <c r="AU70" s="17"/>
    </row>
    <row r="71" spans="1:47" x14ac:dyDescent="0.2">
      <c r="A71" s="1">
        <f t="shared" si="53"/>
        <v>1.5</v>
      </c>
      <c r="D71">
        <f t="shared" si="50"/>
        <v>0.99999999930630701</v>
      </c>
      <c r="E71">
        <f t="shared" si="51"/>
        <v>0.99999999861330702</v>
      </c>
      <c r="F71">
        <f t="shared" si="51"/>
        <v>0.99999999792030703</v>
      </c>
      <c r="G71">
        <f t="shared" si="51"/>
        <v>0.99999999722730704</v>
      </c>
      <c r="H71">
        <f t="shared" si="51"/>
        <v>0.99999999653430705</v>
      </c>
      <c r="I71">
        <f t="shared" si="51"/>
        <v>0.99999999584130705</v>
      </c>
      <c r="J71">
        <f t="shared" si="51"/>
        <v>0.99999999514830706</v>
      </c>
      <c r="K71">
        <f t="shared" si="51"/>
        <v>0.99999999445530707</v>
      </c>
      <c r="L71">
        <f t="shared" si="51"/>
        <v>0.99999999376230708</v>
      </c>
      <c r="M71">
        <f t="shared" si="51"/>
        <v>0.99999999306930709</v>
      </c>
      <c r="N71">
        <f t="shared" si="51"/>
        <v>0.9999999923763071</v>
      </c>
      <c r="O71">
        <f t="shared" si="51"/>
        <v>0.99999999168330711</v>
      </c>
      <c r="P71">
        <f t="shared" si="51"/>
        <v>0.99999999099030712</v>
      </c>
      <c r="Q71">
        <f t="shared" si="51"/>
        <v>0.99999999029730713</v>
      </c>
      <c r="R71">
        <f t="shared" si="51"/>
        <v>0.99999998960430714</v>
      </c>
      <c r="S71">
        <f t="shared" si="51"/>
        <v>0.99999998891130726</v>
      </c>
      <c r="T71">
        <f t="shared" si="51"/>
        <v>0.99999998821830727</v>
      </c>
      <c r="U71">
        <f t="shared" si="51"/>
        <v>0.99999998752530728</v>
      </c>
      <c r="V71">
        <f t="shared" si="51"/>
        <v>0.99999998683230729</v>
      </c>
      <c r="W71">
        <f t="shared" si="51"/>
        <v>0.9999999861393073</v>
      </c>
      <c r="AF71" s="17" t="s">
        <v>43</v>
      </c>
      <c r="AG71" s="17"/>
      <c r="AH71" s="17">
        <f>AH69/AG69</f>
        <v>23.040607227141773</v>
      </c>
      <c r="AI71" s="17"/>
      <c r="AJ71" s="17"/>
      <c r="AK71" s="17"/>
      <c r="AN71" s="7"/>
      <c r="AO71" s="7"/>
      <c r="AP71" s="17" t="s">
        <v>43</v>
      </c>
      <c r="AQ71" s="17"/>
      <c r="AR71" s="17">
        <f>AR69/AQ69</f>
        <v>23.040607227141773</v>
      </c>
      <c r="AS71" s="17"/>
      <c r="AT71" s="17"/>
      <c r="AU71" s="17"/>
    </row>
    <row r="72" spans="1:47" x14ac:dyDescent="0.2">
      <c r="A72" s="1">
        <f t="shared" si="53"/>
        <v>2</v>
      </c>
      <c r="D72">
        <f t="shared" si="50"/>
        <v>0.99999999930630701</v>
      </c>
      <c r="E72">
        <f t="shared" si="51"/>
        <v>0.99999999861330702</v>
      </c>
      <c r="F72">
        <f t="shared" si="51"/>
        <v>0.99999999792030703</v>
      </c>
      <c r="G72">
        <f t="shared" si="51"/>
        <v>0.99999999722730704</v>
      </c>
      <c r="H72">
        <f t="shared" si="51"/>
        <v>0.99999999653430705</v>
      </c>
      <c r="I72">
        <f t="shared" ref="E72:W78" si="54">EXP(I$57/(2*ax)*(1-(1+4*k*ax/(v))^0.5))</f>
        <v>0.99999999584130705</v>
      </c>
      <c r="J72">
        <f t="shared" si="54"/>
        <v>0.99999999514830706</v>
      </c>
      <c r="K72">
        <f t="shared" si="54"/>
        <v>0.99999999445530707</v>
      </c>
      <c r="L72">
        <f t="shared" si="54"/>
        <v>0.99999999376230708</v>
      </c>
      <c r="M72">
        <f t="shared" si="54"/>
        <v>0.99999999306930709</v>
      </c>
      <c r="N72">
        <f t="shared" si="54"/>
        <v>0.9999999923763071</v>
      </c>
      <c r="O72">
        <f t="shared" si="54"/>
        <v>0.99999999168330711</v>
      </c>
      <c r="P72">
        <f t="shared" si="54"/>
        <v>0.99999999099030712</v>
      </c>
      <c r="Q72">
        <f t="shared" si="54"/>
        <v>0.99999999029730713</v>
      </c>
      <c r="R72">
        <f t="shared" si="54"/>
        <v>0.99999998960430714</v>
      </c>
      <c r="S72">
        <f t="shared" si="54"/>
        <v>0.99999998891130726</v>
      </c>
      <c r="T72">
        <f t="shared" si="54"/>
        <v>0.99999998821830727</v>
      </c>
      <c r="U72">
        <f t="shared" si="54"/>
        <v>0.99999998752530728</v>
      </c>
      <c r="V72">
        <f t="shared" si="54"/>
        <v>0.99999998683230729</v>
      </c>
      <c r="W72">
        <f t="shared" si="54"/>
        <v>0.9999999861393073</v>
      </c>
      <c r="AF72" s="18" t="s">
        <v>44</v>
      </c>
      <c r="AG72" s="18"/>
      <c r="AH72" s="18"/>
      <c r="AI72" s="18"/>
      <c r="AJ72" s="18" t="e">
        <f>SUM(AJ55:AJ68)</f>
        <v>#DIV/0!</v>
      </c>
      <c r="AK72" s="18"/>
      <c r="AN72" s="7"/>
      <c r="AO72" s="7"/>
      <c r="AP72" s="18" t="s">
        <v>44</v>
      </c>
      <c r="AQ72" s="18"/>
      <c r="AR72" s="18"/>
      <c r="AS72" s="18"/>
      <c r="AT72" s="18" t="e">
        <f>SUM(AT55:AT68)</f>
        <v>#DIV/0!</v>
      </c>
      <c r="AU72" s="18"/>
    </row>
    <row r="73" spans="1:47" x14ac:dyDescent="0.2">
      <c r="A73" s="1">
        <f t="shared" si="53"/>
        <v>2.5</v>
      </c>
      <c r="D73">
        <f t="shared" si="50"/>
        <v>0.99999999930630701</v>
      </c>
      <c r="E73">
        <f t="shared" si="54"/>
        <v>0.99999999861330702</v>
      </c>
      <c r="F73">
        <f t="shared" si="54"/>
        <v>0.99999999792030703</v>
      </c>
      <c r="G73">
        <f t="shared" si="54"/>
        <v>0.99999999722730704</v>
      </c>
      <c r="H73">
        <f t="shared" si="54"/>
        <v>0.99999999653430705</v>
      </c>
      <c r="I73">
        <f t="shared" si="54"/>
        <v>0.99999999584130705</v>
      </c>
      <c r="J73">
        <f t="shared" si="54"/>
        <v>0.99999999514830706</v>
      </c>
      <c r="K73">
        <f t="shared" si="54"/>
        <v>0.99999999445530707</v>
      </c>
      <c r="L73">
        <f t="shared" si="54"/>
        <v>0.99999999376230708</v>
      </c>
      <c r="M73">
        <f t="shared" si="54"/>
        <v>0.99999999306930709</v>
      </c>
      <c r="N73">
        <f t="shared" si="54"/>
        <v>0.9999999923763071</v>
      </c>
      <c r="O73">
        <f t="shared" si="54"/>
        <v>0.99999999168330711</v>
      </c>
      <c r="P73">
        <f t="shared" si="54"/>
        <v>0.99999999099030712</v>
      </c>
      <c r="Q73">
        <f t="shared" si="54"/>
        <v>0.99999999029730713</v>
      </c>
      <c r="R73">
        <f t="shared" si="54"/>
        <v>0.99999998960430714</v>
      </c>
      <c r="S73">
        <f t="shared" si="54"/>
        <v>0.99999998891130726</v>
      </c>
      <c r="T73">
        <f t="shared" si="54"/>
        <v>0.99999998821830727</v>
      </c>
      <c r="U73">
        <f t="shared" si="54"/>
        <v>0.99999998752530728</v>
      </c>
      <c r="V73">
        <f t="shared" si="54"/>
        <v>0.99999998683230729</v>
      </c>
      <c r="W73">
        <f t="shared" si="54"/>
        <v>0.9999999861393073</v>
      </c>
      <c r="AF73" s="7" t="s">
        <v>36</v>
      </c>
      <c r="AG73" s="7">
        <f>MIN(AA2:AA201)</f>
        <v>0</v>
      </c>
      <c r="AN73" s="7"/>
      <c r="AO73" s="7"/>
      <c r="AP73" s="7" t="s">
        <v>36</v>
      </c>
      <c r="AQ73" s="7">
        <f>MIN(AB2:AB201)</f>
        <v>0</v>
      </c>
      <c r="AR73" s="7"/>
      <c r="AS73" s="7"/>
      <c r="AT73" s="7"/>
      <c r="AU73" s="7"/>
    </row>
    <row r="74" spans="1:47" x14ac:dyDescent="0.2">
      <c r="A74" s="1">
        <f t="shared" si="53"/>
        <v>3</v>
      </c>
      <c r="D74">
        <f t="shared" si="50"/>
        <v>0.99999999930630701</v>
      </c>
      <c r="E74">
        <f t="shared" si="54"/>
        <v>0.99999999861330702</v>
      </c>
      <c r="F74">
        <f t="shared" si="54"/>
        <v>0.99999999792030703</v>
      </c>
      <c r="G74">
        <f t="shared" si="54"/>
        <v>0.99999999722730704</v>
      </c>
      <c r="H74">
        <f t="shared" si="54"/>
        <v>0.99999999653430705</v>
      </c>
      <c r="I74">
        <f t="shared" si="54"/>
        <v>0.99999999584130705</v>
      </c>
      <c r="J74">
        <f t="shared" si="54"/>
        <v>0.99999999514830706</v>
      </c>
      <c r="K74">
        <f t="shared" si="54"/>
        <v>0.99999999445530707</v>
      </c>
      <c r="L74">
        <f t="shared" si="54"/>
        <v>0.99999999376230708</v>
      </c>
      <c r="M74">
        <f t="shared" si="54"/>
        <v>0.99999999306930709</v>
      </c>
      <c r="N74">
        <f t="shared" si="54"/>
        <v>0.9999999923763071</v>
      </c>
      <c r="O74">
        <f t="shared" si="54"/>
        <v>0.99999999168330711</v>
      </c>
      <c r="P74">
        <f t="shared" si="54"/>
        <v>0.99999999099030712</v>
      </c>
      <c r="Q74">
        <f t="shared" si="54"/>
        <v>0.99999999029730713</v>
      </c>
      <c r="R74">
        <f t="shared" si="54"/>
        <v>0.99999998960430714</v>
      </c>
      <c r="S74">
        <f t="shared" si="54"/>
        <v>0.99999998891130726</v>
      </c>
      <c r="T74">
        <f t="shared" si="54"/>
        <v>0.99999998821830727</v>
      </c>
      <c r="U74">
        <f t="shared" si="54"/>
        <v>0.99999998752530728</v>
      </c>
      <c r="V74">
        <f t="shared" si="54"/>
        <v>0.99999998683230729</v>
      </c>
      <c r="W74">
        <f t="shared" si="54"/>
        <v>0.9999999861393073</v>
      </c>
      <c r="AF74" s="7" t="s">
        <v>35</v>
      </c>
      <c r="AG74" s="7">
        <f>MAX(AA2:AA201)</f>
        <v>0</v>
      </c>
      <c r="AN74" s="7"/>
      <c r="AO74" s="7"/>
      <c r="AP74" s="7" t="s">
        <v>35</v>
      </c>
      <c r="AQ74" s="7">
        <f>MAX(AB2:AB201)</f>
        <v>0</v>
      </c>
      <c r="AR74" s="7"/>
      <c r="AS74" s="7"/>
      <c r="AT74" s="7"/>
      <c r="AU74" s="7"/>
    </row>
    <row r="75" spans="1:47" x14ac:dyDescent="0.2">
      <c r="A75" s="1">
        <f t="shared" si="53"/>
        <v>3.5</v>
      </c>
      <c r="D75">
        <f t="shared" si="50"/>
        <v>0.99999999930630701</v>
      </c>
      <c r="E75">
        <f t="shared" si="54"/>
        <v>0.99999999861330702</v>
      </c>
      <c r="F75">
        <f t="shared" si="54"/>
        <v>0.99999999792030703</v>
      </c>
      <c r="G75">
        <f t="shared" si="54"/>
        <v>0.99999999722730704</v>
      </c>
      <c r="H75">
        <f t="shared" si="54"/>
        <v>0.99999999653430705</v>
      </c>
      <c r="I75">
        <f t="shared" si="54"/>
        <v>0.99999999584130705</v>
      </c>
      <c r="J75">
        <f t="shared" si="54"/>
        <v>0.99999999514830706</v>
      </c>
      <c r="K75">
        <f t="shared" si="54"/>
        <v>0.99999999445530707</v>
      </c>
      <c r="L75">
        <f t="shared" si="54"/>
        <v>0.99999999376230708</v>
      </c>
      <c r="M75">
        <f t="shared" si="54"/>
        <v>0.99999999306930709</v>
      </c>
      <c r="N75">
        <f t="shared" si="54"/>
        <v>0.9999999923763071</v>
      </c>
      <c r="O75">
        <f t="shared" si="54"/>
        <v>0.99999999168330711</v>
      </c>
      <c r="P75">
        <f t="shared" si="54"/>
        <v>0.99999999099030712</v>
      </c>
      <c r="Q75">
        <f t="shared" si="54"/>
        <v>0.99999999029730713</v>
      </c>
      <c r="R75">
        <f t="shared" si="54"/>
        <v>0.99999998960430714</v>
      </c>
      <c r="S75">
        <f t="shared" si="54"/>
        <v>0.99999998891130726</v>
      </c>
      <c r="T75">
        <f t="shared" si="54"/>
        <v>0.99999998821830727</v>
      </c>
      <c r="U75">
        <f t="shared" si="54"/>
        <v>0.99999998752530728</v>
      </c>
      <c r="V75">
        <f t="shared" si="54"/>
        <v>0.99999998683230729</v>
      </c>
      <c r="W75">
        <f t="shared" si="54"/>
        <v>0.9999999861393073</v>
      </c>
      <c r="AF75" s="18" t="s">
        <v>45</v>
      </c>
      <c r="AG75" s="18">
        <f>AG74-AG73</f>
        <v>0</v>
      </c>
      <c r="AH75" s="18"/>
      <c r="AI75" s="18"/>
      <c r="AJ75" s="18"/>
      <c r="AK75" s="18"/>
      <c r="AN75" s="7"/>
      <c r="AO75" s="7"/>
      <c r="AP75" s="18" t="s">
        <v>45</v>
      </c>
      <c r="AQ75" s="18">
        <f>AQ74-AQ73</f>
        <v>0</v>
      </c>
      <c r="AR75" s="18"/>
      <c r="AS75" s="18"/>
      <c r="AT75" s="18"/>
      <c r="AU75" s="18"/>
    </row>
    <row r="76" spans="1:47" x14ac:dyDescent="0.2">
      <c r="A76" s="1">
        <f t="shared" si="53"/>
        <v>4</v>
      </c>
      <c r="D76">
        <f t="shared" si="50"/>
        <v>0.99999999930630701</v>
      </c>
      <c r="E76">
        <f t="shared" si="54"/>
        <v>0.99999999861330702</v>
      </c>
      <c r="F76">
        <f t="shared" si="54"/>
        <v>0.99999999792030703</v>
      </c>
      <c r="G76">
        <f t="shared" si="54"/>
        <v>0.99999999722730704</v>
      </c>
      <c r="H76">
        <f t="shared" si="54"/>
        <v>0.99999999653430705</v>
      </c>
      <c r="I76">
        <f t="shared" si="54"/>
        <v>0.99999999584130705</v>
      </c>
      <c r="J76">
        <f t="shared" si="54"/>
        <v>0.99999999514830706</v>
      </c>
      <c r="K76">
        <f t="shared" si="54"/>
        <v>0.99999999445530707</v>
      </c>
      <c r="L76">
        <f t="shared" si="54"/>
        <v>0.99999999376230708</v>
      </c>
      <c r="M76">
        <f t="shared" si="54"/>
        <v>0.99999999306930709</v>
      </c>
      <c r="N76">
        <f t="shared" si="54"/>
        <v>0.9999999923763071</v>
      </c>
      <c r="O76">
        <f t="shared" si="54"/>
        <v>0.99999999168330711</v>
      </c>
      <c r="P76">
        <f t="shared" si="54"/>
        <v>0.99999999099030712</v>
      </c>
      <c r="Q76">
        <f t="shared" si="54"/>
        <v>0.99999999029730713</v>
      </c>
      <c r="R76">
        <f t="shared" si="54"/>
        <v>0.99999998960430714</v>
      </c>
      <c r="S76">
        <f t="shared" si="54"/>
        <v>0.99999998891130726</v>
      </c>
      <c r="T76">
        <f t="shared" si="54"/>
        <v>0.99999998821830727</v>
      </c>
      <c r="U76">
        <f t="shared" si="54"/>
        <v>0.99999998752530728</v>
      </c>
      <c r="V76">
        <f t="shared" si="54"/>
        <v>0.99999998683230729</v>
      </c>
      <c r="W76">
        <f t="shared" si="54"/>
        <v>0.9999999861393073</v>
      </c>
    </row>
    <row r="77" spans="1:47" x14ac:dyDescent="0.2">
      <c r="A77" s="1">
        <f t="shared" si="53"/>
        <v>4.5</v>
      </c>
      <c r="D77">
        <f t="shared" si="50"/>
        <v>0.99999999930630701</v>
      </c>
      <c r="E77">
        <f t="shared" si="54"/>
        <v>0.99999999861330702</v>
      </c>
      <c r="F77">
        <f t="shared" si="54"/>
        <v>0.99999999792030703</v>
      </c>
      <c r="G77">
        <f t="shared" si="54"/>
        <v>0.99999999722730704</v>
      </c>
      <c r="H77">
        <f t="shared" si="54"/>
        <v>0.99999999653430705</v>
      </c>
      <c r="I77">
        <f t="shared" si="54"/>
        <v>0.99999999584130705</v>
      </c>
      <c r="J77">
        <f t="shared" si="54"/>
        <v>0.99999999514830706</v>
      </c>
      <c r="K77">
        <f t="shared" si="54"/>
        <v>0.99999999445530707</v>
      </c>
      <c r="L77">
        <f t="shared" si="54"/>
        <v>0.99999999376230708</v>
      </c>
      <c r="M77">
        <f t="shared" si="54"/>
        <v>0.99999999306930709</v>
      </c>
      <c r="N77">
        <f t="shared" si="54"/>
        <v>0.9999999923763071</v>
      </c>
      <c r="O77">
        <f t="shared" si="54"/>
        <v>0.99999999168330711</v>
      </c>
      <c r="P77">
        <f t="shared" si="54"/>
        <v>0.99999999099030712</v>
      </c>
      <c r="Q77">
        <f t="shared" si="54"/>
        <v>0.99999999029730713</v>
      </c>
      <c r="R77">
        <f t="shared" si="54"/>
        <v>0.99999998960430714</v>
      </c>
      <c r="S77">
        <f t="shared" si="54"/>
        <v>0.99999998891130726</v>
      </c>
      <c r="T77">
        <f t="shared" si="54"/>
        <v>0.99999998821830727</v>
      </c>
      <c r="U77">
        <f t="shared" si="54"/>
        <v>0.99999998752530728</v>
      </c>
      <c r="V77">
        <f t="shared" si="54"/>
        <v>0.99999998683230729</v>
      </c>
      <c r="W77">
        <f t="shared" si="54"/>
        <v>0.9999999861393073</v>
      </c>
    </row>
    <row r="78" spans="1:47" x14ac:dyDescent="0.2">
      <c r="A78" s="1">
        <f t="shared" si="53"/>
        <v>5</v>
      </c>
      <c r="D78">
        <f t="shared" si="50"/>
        <v>0.99999999930630701</v>
      </c>
      <c r="E78">
        <f t="shared" si="54"/>
        <v>0.99999999861330702</v>
      </c>
      <c r="F78">
        <f t="shared" si="54"/>
        <v>0.99999999792030703</v>
      </c>
      <c r="G78">
        <f t="shared" si="54"/>
        <v>0.99999999722730704</v>
      </c>
      <c r="H78">
        <f t="shared" si="54"/>
        <v>0.99999999653430705</v>
      </c>
      <c r="I78">
        <f t="shared" si="54"/>
        <v>0.99999999584130705</v>
      </c>
      <c r="J78">
        <f t="shared" si="54"/>
        <v>0.99999999514830706</v>
      </c>
      <c r="K78">
        <f t="shared" si="54"/>
        <v>0.99999999445530707</v>
      </c>
      <c r="L78">
        <f t="shared" si="54"/>
        <v>0.99999999376230708</v>
      </c>
      <c r="M78">
        <f t="shared" si="54"/>
        <v>0.99999999306930709</v>
      </c>
      <c r="N78">
        <f t="shared" si="54"/>
        <v>0.9999999923763071</v>
      </c>
      <c r="O78">
        <f t="shared" si="54"/>
        <v>0.99999999168330711</v>
      </c>
      <c r="P78">
        <f t="shared" si="54"/>
        <v>0.99999999099030712</v>
      </c>
      <c r="Q78">
        <f t="shared" si="54"/>
        <v>0.99999999029730713</v>
      </c>
      <c r="R78">
        <f t="shared" si="54"/>
        <v>0.99999998960430714</v>
      </c>
      <c r="S78">
        <f t="shared" si="54"/>
        <v>0.99999998891130726</v>
      </c>
      <c r="T78">
        <f t="shared" si="54"/>
        <v>0.99999998821830727</v>
      </c>
      <c r="U78">
        <f t="shared" si="54"/>
        <v>0.99999998752530728</v>
      </c>
      <c r="V78">
        <f t="shared" si="54"/>
        <v>0.99999998683230729</v>
      </c>
      <c r="W78">
        <f t="shared" si="54"/>
        <v>0.9999999861393073</v>
      </c>
    </row>
    <row r="80" spans="1:47" x14ac:dyDescent="0.2">
      <c r="D80">
        <f>1+ERF(ABS((D$82-v*t*(1+4*k*ax/v)^0.5)/(2*(ax*v*t)^0.5)))</f>
        <v>1.9427875947537616</v>
      </c>
      <c r="E80">
        <f>1+ERF(ABS((D$82-v*t*(1+4*k*ax/v)^0.5)/(2*(ax*v*t)^0.5)))</f>
        <v>1.9427875947537616</v>
      </c>
    </row>
    <row r="81" spans="1:23" x14ac:dyDescent="0.2">
      <c r="A81" t="s">
        <v>23</v>
      </c>
    </row>
    <row r="82" spans="1:23" x14ac:dyDescent="0.2">
      <c r="A82" t="s">
        <v>21</v>
      </c>
      <c r="B82" t="s">
        <v>22</v>
      </c>
      <c r="C82" s="2">
        <v>1E-3</v>
      </c>
      <c r="D82">
        <f>+C82+dx</f>
        <v>1.0009999999999999</v>
      </c>
      <c r="E82">
        <f t="shared" ref="E82:W82" si="55">+D82+dx</f>
        <v>2.0009999999999999</v>
      </c>
      <c r="F82">
        <f t="shared" si="55"/>
        <v>3.0009999999999999</v>
      </c>
      <c r="G82">
        <f t="shared" si="55"/>
        <v>4.0009999999999994</v>
      </c>
      <c r="H82">
        <f t="shared" si="55"/>
        <v>5.0009999999999994</v>
      </c>
      <c r="I82">
        <f t="shared" si="55"/>
        <v>6.0009999999999994</v>
      </c>
      <c r="J82">
        <f t="shared" si="55"/>
        <v>7.0009999999999994</v>
      </c>
      <c r="K82">
        <f t="shared" si="55"/>
        <v>8.0009999999999994</v>
      </c>
      <c r="L82">
        <f t="shared" si="55"/>
        <v>9.0009999999999994</v>
      </c>
      <c r="M82">
        <f t="shared" si="55"/>
        <v>10.000999999999999</v>
      </c>
      <c r="N82">
        <f t="shared" si="55"/>
        <v>11.000999999999999</v>
      </c>
      <c r="O82">
        <f t="shared" si="55"/>
        <v>12.000999999999999</v>
      </c>
      <c r="P82">
        <f t="shared" si="55"/>
        <v>13.000999999999999</v>
      </c>
      <c r="Q82">
        <f t="shared" si="55"/>
        <v>14.000999999999999</v>
      </c>
      <c r="R82">
        <f t="shared" si="55"/>
        <v>15.000999999999999</v>
      </c>
      <c r="S82">
        <f t="shared" si="55"/>
        <v>16.000999999999998</v>
      </c>
      <c r="T82">
        <f t="shared" si="55"/>
        <v>17.000999999999998</v>
      </c>
      <c r="U82">
        <f t="shared" si="55"/>
        <v>18.000999999999998</v>
      </c>
      <c r="V82">
        <f t="shared" si="55"/>
        <v>19.000999999999998</v>
      </c>
      <c r="W82">
        <f t="shared" si="55"/>
        <v>20.000999999999998</v>
      </c>
    </row>
    <row r="83" spans="1:23" x14ac:dyDescent="0.2">
      <c r="A83" s="1">
        <f t="shared" ref="A83:A91" si="56">+A84+dy</f>
        <v>5</v>
      </c>
      <c r="D83">
        <f t="shared" ref="D83:M92" si="57">IF((D$82-v*t*(1+4*k*ax/v)^0.5)/(2*(ax*v*t)^0.5)&gt;27,0,IF((D$82-v*t*(1+4*k*ax/v)^0.5)/(2*(ax*v*t)^0.5)&gt;0,ERFC((D$82-v*t*(1+4*k*ax/v)^0.5)/(2*(ax*v*t)^0.5)),IF((D$82-v*t*(1+4*k*ax/v)^0.5)/(2*(ax*v*t)^0.5)&lt;-27,2,1+ERF(ABS((D$82-v*t*(1+4*k*ax/v)^0.5)/(2*(ax*v*t)^0.5))))))</f>
        <v>1.9427875947537616</v>
      </c>
      <c r="E83">
        <f t="shared" si="57"/>
        <v>1.904605292303108</v>
      </c>
      <c r="F83">
        <f t="shared" si="57"/>
        <v>1.848290705015623</v>
      </c>
      <c r="G83">
        <f t="shared" si="57"/>
        <v>1.7696421962409044</v>
      </c>
      <c r="H83">
        <f t="shared" si="57"/>
        <v>1.665633160257864</v>
      </c>
      <c r="I83">
        <f t="shared" si="57"/>
        <v>1.535387636486897</v>
      </c>
      <c r="J83">
        <f t="shared" si="57"/>
        <v>1.3809454888452732</v>
      </c>
      <c r="K83">
        <f t="shared" si="57"/>
        <v>1.2075330487827918</v>
      </c>
      <c r="L83">
        <f t="shared" si="57"/>
        <v>1.0231563111374573</v>
      </c>
      <c r="M83">
        <f t="shared" si="57"/>
        <v>0.83752830490148611</v>
      </c>
      <c r="N83">
        <f t="shared" ref="N83:W92" si="58">IF((N$82-v*t*(1+4*k*ax/v)^0.5)/(2*(ax*v*t)^0.5)&gt;27,0,IF((N$82-v*t*(1+4*k*ax/v)^0.5)/(2*(ax*v*t)^0.5)&gt;0,ERFC((N$82-v*t*(1+4*k*ax/v)^0.5)/(2*(ax*v*t)^0.5)),IF((N$82-v*t*(1+4*k*ax/v)^0.5)/(2*(ax*v*t)^0.5)&lt;-27,2,1+ERF(ABS((N$82-v*t*(1+4*k*ax/v)^0.5)/(2*(ax*v*t)^0.5))))))</f>
        <v>0.66056126990950204</v>
      </c>
      <c r="O83">
        <f t="shared" si="58"/>
        <v>0.50080690936269634</v>
      </c>
      <c r="P83">
        <f t="shared" si="58"/>
        <v>0.36424660398419445</v>
      </c>
      <c r="Q83">
        <f t="shared" si="58"/>
        <v>0.25370963399509872</v>
      </c>
      <c r="R83">
        <f t="shared" si="58"/>
        <v>0.1689865365681289</v>
      </c>
      <c r="S83">
        <f t="shared" si="58"/>
        <v>0.10749616323144622</v>
      </c>
      <c r="T83">
        <f t="shared" si="58"/>
        <v>6.5236767646230681E-2</v>
      </c>
      <c r="U83">
        <f t="shared" si="58"/>
        <v>3.7735668072150855E-2</v>
      </c>
      <c r="V83">
        <f t="shared" si="58"/>
        <v>2.0788887359504606E-2</v>
      </c>
      <c r="W83">
        <f t="shared" si="58"/>
        <v>1.0900295495736767E-2</v>
      </c>
    </row>
    <row r="84" spans="1:23" x14ac:dyDescent="0.2">
      <c r="A84" s="1">
        <f t="shared" si="56"/>
        <v>4.5</v>
      </c>
      <c r="D84">
        <f t="shared" si="57"/>
        <v>1.9427875947537616</v>
      </c>
      <c r="E84">
        <f t="shared" si="57"/>
        <v>1.904605292303108</v>
      </c>
      <c r="F84">
        <f t="shared" si="57"/>
        <v>1.848290705015623</v>
      </c>
      <c r="G84">
        <f t="shared" si="57"/>
        <v>1.7696421962409044</v>
      </c>
      <c r="H84">
        <f t="shared" si="57"/>
        <v>1.665633160257864</v>
      </c>
      <c r="I84">
        <f t="shared" si="57"/>
        <v>1.535387636486897</v>
      </c>
      <c r="J84">
        <f t="shared" si="57"/>
        <v>1.3809454888452732</v>
      </c>
      <c r="K84">
        <f t="shared" si="57"/>
        <v>1.2075330487827918</v>
      </c>
      <c r="L84">
        <f t="shared" si="57"/>
        <v>1.0231563111374573</v>
      </c>
      <c r="M84">
        <f t="shared" si="57"/>
        <v>0.83752830490148611</v>
      </c>
      <c r="N84">
        <f t="shared" si="58"/>
        <v>0.66056126990950204</v>
      </c>
      <c r="O84">
        <f t="shared" si="58"/>
        <v>0.50080690936269634</v>
      </c>
      <c r="P84">
        <f t="shared" si="58"/>
        <v>0.36424660398419445</v>
      </c>
      <c r="Q84">
        <f t="shared" si="58"/>
        <v>0.25370963399509872</v>
      </c>
      <c r="R84">
        <f t="shared" si="58"/>
        <v>0.1689865365681289</v>
      </c>
      <c r="S84">
        <f t="shared" si="58"/>
        <v>0.10749616323144622</v>
      </c>
      <c r="T84">
        <f t="shared" si="58"/>
        <v>6.5236767646230681E-2</v>
      </c>
      <c r="U84">
        <f t="shared" si="58"/>
        <v>3.7735668072150855E-2</v>
      </c>
      <c r="V84">
        <f t="shared" si="58"/>
        <v>2.0788887359504606E-2</v>
      </c>
      <c r="W84">
        <f t="shared" si="58"/>
        <v>1.0900295495736767E-2</v>
      </c>
    </row>
    <row r="85" spans="1:23" x14ac:dyDescent="0.2">
      <c r="A85" s="1">
        <f t="shared" si="56"/>
        <v>4</v>
      </c>
      <c r="D85">
        <f t="shared" si="57"/>
        <v>1.9427875947537616</v>
      </c>
      <c r="E85">
        <f t="shared" si="57"/>
        <v>1.904605292303108</v>
      </c>
      <c r="F85">
        <f t="shared" si="57"/>
        <v>1.848290705015623</v>
      </c>
      <c r="G85">
        <f t="shared" si="57"/>
        <v>1.7696421962409044</v>
      </c>
      <c r="H85">
        <f t="shared" si="57"/>
        <v>1.665633160257864</v>
      </c>
      <c r="I85">
        <f t="shared" si="57"/>
        <v>1.535387636486897</v>
      </c>
      <c r="J85">
        <f t="shared" si="57"/>
        <v>1.3809454888452732</v>
      </c>
      <c r="K85">
        <f t="shared" si="57"/>
        <v>1.2075330487827918</v>
      </c>
      <c r="L85">
        <f t="shared" si="57"/>
        <v>1.0231563111374573</v>
      </c>
      <c r="M85">
        <f t="shared" si="57"/>
        <v>0.83752830490148611</v>
      </c>
      <c r="N85">
        <f t="shared" si="58"/>
        <v>0.66056126990950204</v>
      </c>
      <c r="O85">
        <f t="shared" si="58"/>
        <v>0.50080690936269634</v>
      </c>
      <c r="P85">
        <f t="shared" si="58"/>
        <v>0.36424660398419445</v>
      </c>
      <c r="Q85">
        <f t="shared" si="58"/>
        <v>0.25370963399509872</v>
      </c>
      <c r="R85">
        <f t="shared" si="58"/>
        <v>0.1689865365681289</v>
      </c>
      <c r="S85">
        <f t="shared" si="58"/>
        <v>0.10749616323144622</v>
      </c>
      <c r="T85">
        <f t="shared" si="58"/>
        <v>6.5236767646230681E-2</v>
      </c>
      <c r="U85">
        <f t="shared" si="58"/>
        <v>3.7735668072150855E-2</v>
      </c>
      <c r="V85">
        <f t="shared" si="58"/>
        <v>2.0788887359504606E-2</v>
      </c>
      <c r="W85">
        <f t="shared" si="58"/>
        <v>1.0900295495736767E-2</v>
      </c>
    </row>
    <row r="86" spans="1:23" x14ac:dyDescent="0.2">
      <c r="A86" s="1">
        <f t="shared" si="56"/>
        <v>3.5</v>
      </c>
      <c r="D86">
        <f t="shared" si="57"/>
        <v>1.9427875947537616</v>
      </c>
      <c r="E86">
        <f t="shared" si="57"/>
        <v>1.904605292303108</v>
      </c>
      <c r="F86">
        <f t="shared" si="57"/>
        <v>1.848290705015623</v>
      </c>
      <c r="G86">
        <f t="shared" si="57"/>
        <v>1.7696421962409044</v>
      </c>
      <c r="H86">
        <f t="shared" si="57"/>
        <v>1.665633160257864</v>
      </c>
      <c r="I86">
        <f t="shared" si="57"/>
        <v>1.535387636486897</v>
      </c>
      <c r="J86">
        <f t="shared" si="57"/>
        <v>1.3809454888452732</v>
      </c>
      <c r="K86">
        <f t="shared" si="57"/>
        <v>1.2075330487827918</v>
      </c>
      <c r="L86">
        <f t="shared" si="57"/>
        <v>1.0231563111374573</v>
      </c>
      <c r="M86">
        <f t="shared" si="57"/>
        <v>0.83752830490148611</v>
      </c>
      <c r="N86">
        <f t="shared" si="58"/>
        <v>0.66056126990950204</v>
      </c>
      <c r="O86">
        <f t="shared" si="58"/>
        <v>0.50080690936269634</v>
      </c>
      <c r="P86">
        <f t="shared" si="58"/>
        <v>0.36424660398419445</v>
      </c>
      <c r="Q86">
        <f t="shared" si="58"/>
        <v>0.25370963399509872</v>
      </c>
      <c r="R86">
        <f t="shared" si="58"/>
        <v>0.1689865365681289</v>
      </c>
      <c r="S86">
        <f t="shared" si="58"/>
        <v>0.10749616323144622</v>
      </c>
      <c r="T86">
        <f t="shared" si="58"/>
        <v>6.5236767646230681E-2</v>
      </c>
      <c r="U86">
        <f t="shared" si="58"/>
        <v>3.7735668072150855E-2</v>
      </c>
      <c r="V86">
        <f t="shared" si="58"/>
        <v>2.0788887359504606E-2</v>
      </c>
      <c r="W86">
        <f t="shared" si="58"/>
        <v>1.0900295495736767E-2</v>
      </c>
    </row>
    <row r="87" spans="1:23" x14ac:dyDescent="0.2">
      <c r="A87" s="1">
        <f t="shared" si="56"/>
        <v>3</v>
      </c>
      <c r="D87">
        <f t="shared" si="57"/>
        <v>1.9427875947537616</v>
      </c>
      <c r="E87">
        <f t="shared" si="57"/>
        <v>1.904605292303108</v>
      </c>
      <c r="F87">
        <f t="shared" si="57"/>
        <v>1.848290705015623</v>
      </c>
      <c r="G87">
        <f t="shared" si="57"/>
        <v>1.7696421962409044</v>
      </c>
      <c r="H87">
        <f t="shared" si="57"/>
        <v>1.665633160257864</v>
      </c>
      <c r="I87">
        <f t="shared" si="57"/>
        <v>1.535387636486897</v>
      </c>
      <c r="J87">
        <f t="shared" si="57"/>
        <v>1.3809454888452732</v>
      </c>
      <c r="K87">
        <f t="shared" si="57"/>
        <v>1.2075330487827918</v>
      </c>
      <c r="L87">
        <f t="shared" si="57"/>
        <v>1.0231563111374573</v>
      </c>
      <c r="M87">
        <f t="shared" si="57"/>
        <v>0.83752830490148611</v>
      </c>
      <c r="N87">
        <f t="shared" si="58"/>
        <v>0.66056126990950204</v>
      </c>
      <c r="O87">
        <f t="shared" si="58"/>
        <v>0.50080690936269634</v>
      </c>
      <c r="P87">
        <f t="shared" si="58"/>
        <v>0.36424660398419445</v>
      </c>
      <c r="Q87">
        <f t="shared" si="58"/>
        <v>0.25370963399509872</v>
      </c>
      <c r="R87">
        <f t="shared" si="58"/>
        <v>0.1689865365681289</v>
      </c>
      <c r="S87">
        <f t="shared" si="58"/>
        <v>0.10749616323144622</v>
      </c>
      <c r="T87">
        <f t="shared" si="58"/>
        <v>6.5236767646230681E-2</v>
      </c>
      <c r="U87">
        <f t="shared" si="58"/>
        <v>3.7735668072150855E-2</v>
      </c>
      <c r="V87">
        <f t="shared" si="58"/>
        <v>2.0788887359504606E-2</v>
      </c>
      <c r="W87">
        <f t="shared" si="58"/>
        <v>1.0900295495736767E-2</v>
      </c>
    </row>
    <row r="88" spans="1:23" x14ac:dyDescent="0.2">
      <c r="A88" s="1">
        <f t="shared" si="56"/>
        <v>2.5</v>
      </c>
      <c r="D88">
        <f t="shared" si="57"/>
        <v>1.9427875947537616</v>
      </c>
      <c r="E88">
        <f t="shared" si="57"/>
        <v>1.904605292303108</v>
      </c>
      <c r="F88">
        <f t="shared" si="57"/>
        <v>1.848290705015623</v>
      </c>
      <c r="G88">
        <f t="shared" si="57"/>
        <v>1.7696421962409044</v>
      </c>
      <c r="H88">
        <f t="shared" si="57"/>
        <v>1.665633160257864</v>
      </c>
      <c r="I88">
        <f t="shared" si="57"/>
        <v>1.535387636486897</v>
      </c>
      <c r="J88">
        <f t="shared" si="57"/>
        <v>1.3809454888452732</v>
      </c>
      <c r="K88">
        <f t="shared" si="57"/>
        <v>1.2075330487827918</v>
      </c>
      <c r="L88">
        <f t="shared" si="57"/>
        <v>1.0231563111374573</v>
      </c>
      <c r="M88">
        <f t="shared" si="57"/>
        <v>0.83752830490148611</v>
      </c>
      <c r="N88">
        <f t="shared" si="58"/>
        <v>0.66056126990950204</v>
      </c>
      <c r="O88">
        <f t="shared" si="58"/>
        <v>0.50080690936269634</v>
      </c>
      <c r="P88">
        <f t="shared" si="58"/>
        <v>0.36424660398419445</v>
      </c>
      <c r="Q88">
        <f t="shared" si="58"/>
        <v>0.25370963399509872</v>
      </c>
      <c r="R88">
        <f t="shared" si="58"/>
        <v>0.1689865365681289</v>
      </c>
      <c r="S88">
        <f t="shared" si="58"/>
        <v>0.10749616323144622</v>
      </c>
      <c r="T88">
        <f t="shared" si="58"/>
        <v>6.5236767646230681E-2</v>
      </c>
      <c r="U88">
        <f t="shared" si="58"/>
        <v>3.7735668072150855E-2</v>
      </c>
      <c r="V88">
        <f t="shared" si="58"/>
        <v>2.0788887359504606E-2</v>
      </c>
      <c r="W88">
        <f t="shared" si="58"/>
        <v>1.0900295495736767E-2</v>
      </c>
    </row>
    <row r="89" spans="1:23" x14ac:dyDescent="0.2">
      <c r="A89" s="1">
        <f t="shared" si="56"/>
        <v>2</v>
      </c>
      <c r="D89">
        <f t="shared" si="57"/>
        <v>1.9427875947537616</v>
      </c>
      <c r="E89">
        <f t="shared" si="57"/>
        <v>1.904605292303108</v>
      </c>
      <c r="F89">
        <f t="shared" si="57"/>
        <v>1.848290705015623</v>
      </c>
      <c r="G89">
        <f t="shared" si="57"/>
        <v>1.7696421962409044</v>
      </c>
      <c r="H89">
        <f t="shared" si="57"/>
        <v>1.665633160257864</v>
      </c>
      <c r="I89">
        <f t="shared" si="57"/>
        <v>1.535387636486897</v>
      </c>
      <c r="J89">
        <f t="shared" si="57"/>
        <v>1.3809454888452732</v>
      </c>
      <c r="K89">
        <f t="shared" si="57"/>
        <v>1.2075330487827918</v>
      </c>
      <c r="L89">
        <f t="shared" si="57"/>
        <v>1.0231563111374573</v>
      </c>
      <c r="M89">
        <f t="shared" si="57"/>
        <v>0.83752830490148611</v>
      </c>
      <c r="N89">
        <f t="shared" si="58"/>
        <v>0.66056126990950204</v>
      </c>
      <c r="O89">
        <f t="shared" si="58"/>
        <v>0.50080690936269634</v>
      </c>
      <c r="P89">
        <f t="shared" si="58"/>
        <v>0.36424660398419445</v>
      </c>
      <c r="Q89">
        <f t="shared" si="58"/>
        <v>0.25370963399509872</v>
      </c>
      <c r="R89">
        <f t="shared" si="58"/>
        <v>0.1689865365681289</v>
      </c>
      <c r="S89">
        <f t="shared" si="58"/>
        <v>0.10749616323144622</v>
      </c>
      <c r="T89">
        <f t="shared" si="58"/>
        <v>6.5236767646230681E-2</v>
      </c>
      <c r="U89">
        <f t="shared" si="58"/>
        <v>3.7735668072150855E-2</v>
      </c>
      <c r="V89">
        <f t="shared" si="58"/>
        <v>2.0788887359504606E-2</v>
      </c>
      <c r="W89">
        <f t="shared" si="58"/>
        <v>1.0900295495736767E-2</v>
      </c>
    </row>
    <row r="90" spans="1:23" x14ac:dyDescent="0.2">
      <c r="A90" s="1">
        <f t="shared" si="56"/>
        <v>1.5</v>
      </c>
      <c r="D90">
        <f t="shared" si="57"/>
        <v>1.9427875947537616</v>
      </c>
      <c r="E90">
        <f t="shared" si="57"/>
        <v>1.904605292303108</v>
      </c>
      <c r="F90">
        <f t="shared" si="57"/>
        <v>1.848290705015623</v>
      </c>
      <c r="G90">
        <f t="shared" si="57"/>
        <v>1.7696421962409044</v>
      </c>
      <c r="H90">
        <f t="shared" si="57"/>
        <v>1.665633160257864</v>
      </c>
      <c r="I90">
        <f t="shared" si="57"/>
        <v>1.535387636486897</v>
      </c>
      <c r="J90">
        <f t="shared" si="57"/>
        <v>1.3809454888452732</v>
      </c>
      <c r="K90">
        <f t="shared" si="57"/>
        <v>1.2075330487827918</v>
      </c>
      <c r="L90">
        <f t="shared" si="57"/>
        <v>1.0231563111374573</v>
      </c>
      <c r="M90">
        <f t="shared" si="57"/>
        <v>0.83752830490148611</v>
      </c>
      <c r="N90">
        <f t="shared" si="58"/>
        <v>0.66056126990950204</v>
      </c>
      <c r="O90">
        <f t="shared" si="58"/>
        <v>0.50080690936269634</v>
      </c>
      <c r="P90">
        <f t="shared" si="58"/>
        <v>0.36424660398419445</v>
      </c>
      <c r="Q90">
        <f t="shared" si="58"/>
        <v>0.25370963399509872</v>
      </c>
      <c r="R90">
        <f t="shared" si="58"/>
        <v>0.1689865365681289</v>
      </c>
      <c r="S90">
        <f t="shared" si="58"/>
        <v>0.10749616323144622</v>
      </c>
      <c r="T90">
        <f t="shared" si="58"/>
        <v>6.5236767646230681E-2</v>
      </c>
      <c r="U90">
        <f t="shared" si="58"/>
        <v>3.7735668072150855E-2</v>
      </c>
      <c r="V90">
        <f t="shared" si="58"/>
        <v>2.0788887359504606E-2</v>
      </c>
      <c r="W90">
        <f t="shared" si="58"/>
        <v>1.0900295495736767E-2</v>
      </c>
    </row>
    <row r="91" spans="1:23" x14ac:dyDescent="0.2">
      <c r="A91" s="1">
        <f t="shared" si="56"/>
        <v>1</v>
      </c>
      <c r="D91">
        <f t="shared" si="57"/>
        <v>1.9427875947537616</v>
      </c>
      <c r="E91">
        <f t="shared" si="57"/>
        <v>1.904605292303108</v>
      </c>
      <c r="F91">
        <f t="shared" si="57"/>
        <v>1.848290705015623</v>
      </c>
      <c r="G91">
        <f t="shared" si="57"/>
        <v>1.7696421962409044</v>
      </c>
      <c r="H91">
        <f t="shared" si="57"/>
        <v>1.665633160257864</v>
      </c>
      <c r="I91">
        <f t="shared" si="57"/>
        <v>1.535387636486897</v>
      </c>
      <c r="J91">
        <f t="shared" si="57"/>
        <v>1.3809454888452732</v>
      </c>
      <c r="K91">
        <f t="shared" si="57"/>
        <v>1.2075330487827918</v>
      </c>
      <c r="L91">
        <f t="shared" si="57"/>
        <v>1.0231563111374573</v>
      </c>
      <c r="M91">
        <f t="shared" si="57"/>
        <v>0.83752830490148611</v>
      </c>
      <c r="N91">
        <f t="shared" si="58"/>
        <v>0.66056126990950204</v>
      </c>
      <c r="O91">
        <f t="shared" si="58"/>
        <v>0.50080690936269634</v>
      </c>
      <c r="P91">
        <f t="shared" si="58"/>
        <v>0.36424660398419445</v>
      </c>
      <c r="Q91">
        <f t="shared" si="58"/>
        <v>0.25370963399509872</v>
      </c>
      <c r="R91">
        <f t="shared" si="58"/>
        <v>0.1689865365681289</v>
      </c>
      <c r="S91">
        <f t="shared" si="58"/>
        <v>0.10749616323144622</v>
      </c>
      <c r="T91">
        <f t="shared" si="58"/>
        <v>6.5236767646230681E-2</v>
      </c>
      <c r="U91">
        <f t="shared" si="58"/>
        <v>3.7735668072150855E-2</v>
      </c>
      <c r="V91">
        <f t="shared" si="58"/>
        <v>2.0788887359504606E-2</v>
      </c>
      <c r="W91">
        <f t="shared" si="58"/>
        <v>1.0900295495736767E-2</v>
      </c>
    </row>
    <row r="92" spans="1:23" x14ac:dyDescent="0.2">
      <c r="A92" s="1">
        <f>+A93+dy</f>
        <v>0.5</v>
      </c>
      <c r="D92">
        <f t="shared" si="57"/>
        <v>1.9427875947537616</v>
      </c>
      <c r="E92">
        <f t="shared" si="57"/>
        <v>1.904605292303108</v>
      </c>
      <c r="F92">
        <f t="shared" si="57"/>
        <v>1.848290705015623</v>
      </c>
      <c r="G92">
        <f t="shared" si="57"/>
        <v>1.7696421962409044</v>
      </c>
      <c r="H92">
        <f t="shared" si="57"/>
        <v>1.665633160257864</v>
      </c>
      <c r="I92">
        <f t="shared" si="57"/>
        <v>1.535387636486897</v>
      </c>
      <c r="J92">
        <f t="shared" si="57"/>
        <v>1.3809454888452732</v>
      </c>
      <c r="K92">
        <f t="shared" si="57"/>
        <v>1.2075330487827918</v>
      </c>
      <c r="L92">
        <f t="shared" si="57"/>
        <v>1.0231563111374573</v>
      </c>
      <c r="M92">
        <f t="shared" si="57"/>
        <v>0.83752830490148611</v>
      </c>
      <c r="N92">
        <f t="shared" si="58"/>
        <v>0.66056126990950204</v>
      </c>
      <c r="O92">
        <f t="shared" si="58"/>
        <v>0.50080690936269634</v>
      </c>
      <c r="P92">
        <f t="shared" si="58"/>
        <v>0.36424660398419445</v>
      </c>
      <c r="Q92">
        <f t="shared" si="58"/>
        <v>0.25370963399509872</v>
      </c>
      <c r="R92">
        <f t="shared" si="58"/>
        <v>0.1689865365681289</v>
      </c>
      <c r="S92">
        <f t="shared" si="58"/>
        <v>0.10749616323144622</v>
      </c>
      <c r="T92">
        <f t="shared" si="58"/>
        <v>6.5236767646230681E-2</v>
      </c>
      <c r="U92">
        <f t="shared" si="58"/>
        <v>3.7735668072150855E-2</v>
      </c>
      <c r="V92">
        <f t="shared" si="58"/>
        <v>2.0788887359504606E-2</v>
      </c>
      <c r="W92">
        <f t="shared" si="58"/>
        <v>1.0900295495736767E-2</v>
      </c>
    </row>
    <row r="93" spans="1:23" x14ac:dyDescent="0.2">
      <c r="A93" s="1">
        <v>0</v>
      </c>
      <c r="D93">
        <f t="shared" ref="D93:M103" si="59">IF((D$82-v*t*(1+4*k*ax/v)^0.5)/(2*(ax*v*t)^0.5)&gt;27,0,IF((D$82-v*t*(1+4*k*ax/v)^0.5)/(2*(ax*v*t)^0.5)&gt;0,ERFC((D$82-v*t*(1+4*k*ax/v)^0.5)/(2*(ax*v*t)^0.5)),IF((D$82-v*t*(1+4*k*ax/v)^0.5)/(2*(ax*v*t)^0.5)&lt;-27,2,1+ERF(ABS((D$82-v*t*(1+4*k*ax/v)^0.5)/(2*(ax*v*t)^0.5))))))</f>
        <v>1.9427875947537616</v>
      </c>
      <c r="E93">
        <f t="shared" si="59"/>
        <v>1.904605292303108</v>
      </c>
      <c r="F93">
        <f t="shared" si="59"/>
        <v>1.848290705015623</v>
      </c>
      <c r="G93">
        <f t="shared" si="59"/>
        <v>1.7696421962409044</v>
      </c>
      <c r="H93">
        <f t="shared" si="59"/>
        <v>1.665633160257864</v>
      </c>
      <c r="I93">
        <f t="shared" si="59"/>
        <v>1.535387636486897</v>
      </c>
      <c r="J93">
        <f t="shared" si="59"/>
        <v>1.3809454888452732</v>
      </c>
      <c r="K93">
        <f t="shared" si="59"/>
        <v>1.2075330487827918</v>
      </c>
      <c r="L93">
        <f t="shared" si="59"/>
        <v>1.0231563111374573</v>
      </c>
      <c r="M93">
        <f t="shared" si="59"/>
        <v>0.83752830490148611</v>
      </c>
      <c r="N93">
        <f t="shared" ref="N93:W103" si="60">IF((N$82-v*t*(1+4*k*ax/v)^0.5)/(2*(ax*v*t)^0.5)&gt;27,0,IF((N$82-v*t*(1+4*k*ax/v)^0.5)/(2*(ax*v*t)^0.5)&gt;0,ERFC((N$82-v*t*(1+4*k*ax/v)^0.5)/(2*(ax*v*t)^0.5)),IF((N$82-v*t*(1+4*k*ax/v)^0.5)/(2*(ax*v*t)^0.5)&lt;-27,2,1+ERF(ABS((N$82-v*t*(1+4*k*ax/v)^0.5)/(2*(ax*v*t)^0.5))))))</f>
        <v>0.66056126990950204</v>
      </c>
      <c r="O93">
        <f t="shared" si="60"/>
        <v>0.50080690936269634</v>
      </c>
      <c r="P93">
        <f t="shared" si="60"/>
        <v>0.36424660398419445</v>
      </c>
      <c r="Q93">
        <f t="shared" si="60"/>
        <v>0.25370963399509872</v>
      </c>
      <c r="R93">
        <f t="shared" si="60"/>
        <v>0.1689865365681289</v>
      </c>
      <c r="S93">
        <f t="shared" si="60"/>
        <v>0.10749616323144622</v>
      </c>
      <c r="T93">
        <f t="shared" si="60"/>
        <v>6.5236767646230681E-2</v>
      </c>
      <c r="U93">
        <f t="shared" si="60"/>
        <v>3.7735668072150855E-2</v>
      </c>
      <c r="V93">
        <f t="shared" si="60"/>
        <v>2.0788887359504606E-2</v>
      </c>
      <c r="W93">
        <f t="shared" si="60"/>
        <v>1.0900295495736767E-2</v>
      </c>
    </row>
    <row r="94" spans="1:23" x14ac:dyDescent="0.2">
      <c r="A94" s="1">
        <f>+A93+dy</f>
        <v>0.5</v>
      </c>
      <c r="D94">
        <f t="shared" si="59"/>
        <v>1.9427875947537616</v>
      </c>
      <c r="E94">
        <f t="shared" si="59"/>
        <v>1.904605292303108</v>
      </c>
      <c r="F94">
        <f t="shared" si="59"/>
        <v>1.848290705015623</v>
      </c>
      <c r="G94">
        <f t="shared" si="59"/>
        <v>1.7696421962409044</v>
      </c>
      <c r="H94">
        <f t="shared" si="59"/>
        <v>1.665633160257864</v>
      </c>
      <c r="I94">
        <f t="shared" si="59"/>
        <v>1.535387636486897</v>
      </c>
      <c r="J94">
        <f t="shared" si="59"/>
        <v>1.3809454888452732</v>
      </c>
      <c r="K94">
        <f t="shared" si="59"/>
        <v>1.2075330487827918</v>
      </c>
      <c r="L94">
        <f t="shared" si="59"/>
        <v>1.0231563111374573</v>
      </c>
      <c r="M94">
        <f t="shared" si="59"/>
        <v>0.83752830490148611</v>
      </c>
      <c r="N94">
        <f t="shared" si="60"/>
        <v>0.66056126990950204</v>
      </c>
      <c r="O94">
        <f t="shared" si="60"/>
        <v>0.50080690936269634</v>
      </c>
      <c r="P94">
        <f t="shared" si="60"/>
        <v>0.36424660398419445</v>
      </c>
      <c r="Q94">
        <f t="shared" si="60"/>
        <v>0.25370963399509872</v>
      </c>
      <c r="R94">
        <f t="shared" si="60"/>
        <v>0.1689865365681289</v>
      </c>
      <c r="S94">
        <f t="shared" si="60"/>
        <v>0.10749616323144622</v>
      </c>
      <c r="T94">
        <f t="shared" si="60"/>
        <v>6.5236767646230681E-2</v>
      </c>
      <c r="U94">
        <f t="shared" si="60"/>
        <v>3.7735668072150855E-2</v>
      </c>
      <c r="V94">
        <f t="shared" si="60"/>
        <v>2.0788887359504606E-2</v>
      </c>
      <c r="W94">
        <f t="shared" si="60"/>
        <v>1.0900295495736767E-2</v>
      </c>
    </row>
    <row r="95" spans="1:23" x14ac:dyDescent="0.2">
      <c r="A95" s="1">
        <f t="shared" ref="A95:A103" si="61">+A94+dy</f>
        <v>1</v>
      </c>
      <c r="D95">
        <f t="shared" si="59"/>
        <v>1.9427875947537616</v>
      </c>
      <c r="E95">
        <f t="shared" si="59"/>
        <v>1.904605292303108</v>
      </c>
      <c r="F95">
        <f t="shared" si="59"/>
        <v>1.848290705015623</v>
      </c>
      <c r="G95">
        <f t="shared" si="59"/>
        <v>1.7696421962409044</v>
      </c>
      <c r="H95">
        <f t="shared" si="59"/>
        <v>1.665633160257864</v>
      </c>
      <c r="I95">
        <f t="shared" si="59"/>
        <v>1.535387636486897</v>
      </c>
      <c r="J95">
        <f t="shared" si="59"/>
        <v>1.3809454888452732</v>
      </c>
      <c r="K95">
        <f t="shared" si="59"/>
        <v>1.2075330487827918</v>
      </c>
      <c r="L95">
        <f t="shared" si="59"/>
        <v>1.0231563111374573</v>
      </c>
      <c r="M95">
        <f t="shared" si="59"/>
        <v>0.83752830490148611</v>
      </c>
      <c r="N95">
        <f t="shared" si="60"/>
        <v>0.66056126990950204</v>
      </c>
      <c r="O95">
        <f t="shared" si="60"/>
        <v>0.50080690936269634</v>
      </c>
      <c r="P95">
        <f t="shared" si="60"/>
        <v>0.36424660398419445</v>
      </c>
      <c r="Q95">
        <f t="shared" si="60"/>
        <v>0.25370963399509872</v>
      </c>
      <c r="R95">
        <f t="shared" si="60"/>
        <v>0.1689865365681289</v>
      </c>
      <c r="S95">
        <f t="shared" si="60"/>
        <v>0.10749616323144622</v>
      </c>
      <c r="T95">
        <f t="shared" si="60"/>
        <v>6.5236767646230681E-2</v>
      </c>
      <c r="U95">
        <f t="shared" si="60"/>
        <v>3.7735668072150855E-2</v>
      </c>
      <c r="V95">
        <f t="shared" si="60"/>
        <v>2.0788887359504606E-2</v>
      </c>
      <c r="W95">
        <f t="shared" si="60"/>
        <v>1.0900295495736767E-2</v>
      </c>
    </row>
    <row r="96" spans="1:23" x14ac:dyDescent="0.2">
      <c r="A96" s="1">
        <f t="shared" si="61"/>
        <v>1.5</v>
      </c>
      <c r="D96">
        <f t="shared" si="59"/>
        <v>1.9427875947537616</v>
      </c>
      <c r="E96">
        <f t="shared" si="59"/>
        <v>1.904605292303108</v>
      </c>
      <c r="F96">
        <f t="shared" si="59"/>
        <v>1.848290705015623</v>
      </c>
      <c r="G96">
        <f t="shared" si="59"/>
        <v>1.7696421962409044</v>
      </c>
      <c r="H96">
        <f t="shared" si="59"/>
        <v>1.665633160257864</v>
      </c>
      <c r="I96">
        <f t="shared" si="59"/>
        <v>1.535387636486897</v>
      </c>
      <c r="J96">
        <f t="shared" si="59"/>
        <v>1.3809454888452732</v>
      </c>
      <c r="K96">
        <f t="shared" si="59"/>
        <v>1.2075330487827918</v>
      </c>
      <c r="L96">
        <f t="shared" si="59"/>
        <v>1.0231563111374573</v>
      </c>
      <c r="M96">
        <f t="shared" si="59"/>
        <v>0.83752830490148611</v>
      </c>
      <c r="N96">
        <f t="shared" si="60"/>
        <v>0.66056126990950204</v>
      </c>
      <c r="O96">
        <f t="shared" si="60"/>
        <v>0.50080690936269634</v>
      </c>
      <c r="P96">
        <f t="shared" si="60"/>
        <v>0.36424660398419445</v>
      </c>
      <c r="Q96">
        <f t="shared" si="60"/>
        <v>0.25370963399509872</v>
      </c>
      <c r="R96">
        <f t="shared" si="60"/>
        <v>0.1689865365681289</v>
      </c>
      <c r="S96">
        <f t="shared" si="60"/>
        <v>0.10749616323144622</v>
      </c>
      <c r="T96">
        <f t="shared" si="60"/>
        <v>6.5236767646230681E-2</v>
      </c>
      <c r="U96">
        <f t="shared" si="60"/>
        <v>3.7735668072150855E-2</v>
      </c>
      <c r="V96">
        <f t="shared" si="60"/>
        <v>2.0788887359504606E-2</v>
      </c>
      <c r="W96">
        <f t="shared" si="60"/>
        <v>1.0900295495736767E-2</v>
      </c>
    </row>
    <row r="97" spans="1:23" x14ac:dyDescent="0.2">
      <c r="A97" s="1">
        <f t="shared" si="61"/>
        <v>2</v>
      </c>
      <c r="D97">
        <f t="shared" si="59"/>
        <v>1.9427875947537616</v>
      </c>
      <c r="E97">
        <f t="shared" si="59"/>
        <v>1.904605292303108</v>
      </c>
      <c r="F97">
        <f t="shared" si="59"/>
        <v>1.848290705015623</v>
      </c>
      <c r="G97">
        <f t="shared" si="59"/>
        <v>1.7696421962409044</v>
      </c>
      <c r="H97">
        <f t="shared" si="59"/>
        <v>1.665633160257864</v>
      </c>
      <c r="I97">
        <f t="shared" si="59"/>
        <v>1.535387636486897</v>
      </c>
      <c r="J97">
        <f t="shared" si="59"/>
        <v>1.3809454888452732</v>
      </c>
      <c r="K97">
        <f t="shared" si="59"/>
        <v>1.2075330487827918</v>
      </c>
      <c r="L97">
        <f t="shared" si="59"/>
        <v>1.0231563111374573</v>
      </c>
      <c r="M97">
        <f t="shared" si="59"/>
        <v>0.83752830490148611</v>
      </c>
      <c r="N97">
        <f t="shared" si="60"/>
        <v>0.66056126990950204</v>
      </c>
      <c r="O97">
        <f t="shared" si="60"/>
        <v>0.50080690936269634</v>
      </c>
      <c r="P97">
        <f t="shared" si="60"/>
        <v>0.36424660398419445</v>
      </c>
      <c r="Q97">
        <f t="shared" si="60"/>
        <v>0.25370963399509872</v>
      </c>
      <c r="R97">
        <f t="shared" si="60"/>
        <v>0.1689865365681289</v>
      </c>
      <c r="S97">
        <f t="shared" si="60"/>
        <v>0.10749616323144622</v>
      </c>
      <c r="T97">
        <f t="shared" si="60"/>
        <v>6.5236767646230681E-2</v>
      </c>
      <c r="U97">
        <f t="shared" si="60"/>
        <v>3.7735668072150855E-2</v>
      </c>
      <c r="V97">
        <f t="shared" si="60"/>
        <v>2.0788887359504606E-2</v>
      </c>
      <c r="W97">
        <f t="shared" si="60"/>
        <v>1.0900295495736767E-2</v>
      </c>
    </row>
    <row r="98" spans="1:23" x14ac:dyDescent="0.2">
      <c r="A98" s="1">
        <f t="shared" si="61"/>
        <v>2.5</v>
      </c>
      <c r="D98">
        <f t="shared" si="59"/>
        <v>1.9427875947537616</v>
      </c>
      <c r="E98">
        <f t="shared" si="59"/>
        <v>1.904605292303108</v>
      </c>
      <c r="F98">
        <f t="shared" si="59"/>
        <v>1.848290705015623</v>
      </c>
      <c r="G98">
        <f t="shared" si="59"/>
        <v>1.7696421962409044</v>
      </c>
      <c r="H98">
        <f t="shared" si="59"/>
        <v>1.665633160257864</v>
      </c>
      <c r="I98">
        <f t="shared" si="59"/>
        <v>1.535387636486897</v>
      </c>
      <c r="J98">
        <f t="shared" si="59"/>
        <v>1.3809454888452732</v>
      </c>
      <c r="K98">
        <f t="shared" si="59"/>
        <v>1.2075330487827918</v>
      </c>
      <c r="L98">
        <f t="shared" si="59"/>
        <v>1.0231563111374573</v>
      </c>
      <c r="M98">
        <f t="shared" si="59"/>
        <v>0.83752830490148611</v>
      </c>
      <c r="N98">
        <f t="shared" si="60"/>
        <v>0.66056126990950204</v>
      </c>
      <c r="O98">
        <f t="shared" si="60"/>
        <v>0.50080690936269634</v>
      </c>
      <c r="P98">
        <f t="shared" si="60"/>
        <v>0.36424660398419445</v>
      </c>
      <c r="Q98">
        <f t="shared" si="60"/>
        <v>0.25370963399509872</v>
      </c>
      <c r="R98">
        <f t="shared" si="60"/>
        <v>0.1689865365681289</v>
      </c>
      <c r="S98">
        <f t="shared" si="60"/>
        <v>0.10749616323144622</v>
      </c>
      <c r="T98">
        <f t="shared" si="60"/>
        <v>6.5236767646230681E-2</v>
      </c>
      <c r="U98">
        <f t="shared" si="60"/>
        <v>3.7735668072150855E-2</v>
      </c>
      <c r="V98">
        <f t="shared" si="60"/>
        <v>2.0788887359504606E-2</v>
      </c>
      <c r="W98">
        <f t="shared" si="60"/>
        <v>1.0900295495736767E-2</v>
      </c>
    </row>
    <row r="99" spans="1:23" x14ac:dyDescent="0.2">
      <c r="A99" s="1">
        <f t="shared" si="61"/>
        <v>3</v>
      </c>
      <c r="D99">
        <f t="shared" si="59"/>
        <v>1.9427875947537616</v>
      </c>
      <c r="E99">
        <f t="shared" si="59"/>
        <v>1.904605292303108</v>
      </c>
      <c r="F99">
        <f t="shared" si="59"/>
        <v>1.848290705015623</v>
      </c>
      <c r="G99">
        <f t="shared" si="59"/>
        <v>1.7696421962409044</v>
      </c>
      <c r="H99">
        <f t="shared" si="59"/>
        <v>1.665633160257864</v>
      </c>
      <c r="I99">
        <f t="shared" si="59"/>
        <v>1.535387636486897</v>
      </c>
      <c r="J99">
        <f t="shared" si="59"/>
        <v>1.3809454888452732</v>
      </c>
      <c r="K99">
        <f t="shared" si="59"/>
        <v>1.2075330487827918</v>
      </c>
      <c r="L99">
        <f t="shared" si="59"/>
        <v>1.0231563111374573</v>
      </c>
      <c r="M99">
        <f t="shared" si="59"/>
        <v>0.83752830490148611</v>
      </c>
      <c r="N99">
        <f t="shared" si="60"/>
        <v>0.66056126990950204</v>
      </c>
      <c r="O99">
        <f t="shared" si="60"/>
        <v>0.50080690936269634</v>
      </c>
      <c r="P99">
        <f t="shared" si="60"/>
        <v>0.36424660398419445</v>
      </c>
      <c r="Q99">
        <f t="shared" si="60"/>
        <v>0.25370963399509872</v>
      </c>
      <c r="R99">
        <f t="shared" si="60"/>
        <v>0.1689865365681289</v>
      </c>
      <c r="S99">
        <f t="shared" si="60"/>
        <v>0.10749616323144622</v>
      </c>
      <c r="T99">
        <f t="shared" si="60"/>
        <v>6.5236767646230681E-2</v>
      </c>
      <c r="U99">
        <f t="shared" si="60"/>
        <v>3.7735668072150855E-2</v>
      </c>
      <c r="V99">
        <f t="shared" si="60"/>
        <v>2.0788887359504606E-2</v>
      </c>
      <c r="W99">
        <f t="shared" si="60"/>
        <v>1.0900295495736767E-2</v>
      </c>
    </row>
    <row r="100" spans="1:23" x14ac:dyDescent="0.2">
      <c r="A100" s="1">
        <f t="shared" si="61"/>
        <v>3.5</v>
      </c>
      <c r="D100">
        <f t="shared" si="59"/>
        <v>1.9427875947537616</v>
      </c>
      <c r="E100">
        <f t="shared" si="59"/>
        <v>1.904605292303108</v>
      </c>
      <c r="F100">
        <f t="shared" si="59"/>
        <v>1.848290705015623</v>
      </c>
      <c r="G100">
        <f t="shared" si="59"/>
        <v>1.7696421962409044</v>
      </c>
      <c r="H100">
        <f t="shared" si="59"/>
        <v>1.665633160257864</v>
      </c>
      <c r="I100">
        <f t="shared" si="59"/>
        <v>1.535387636486897</v>
      </c>
      <c r="J100">
        <f t="shared" si="59"/>
        <v>1.3809454888452732</v>
      </c>
      <c r="K100">
        <f t="shared" si="59"/>
        <v>1.2075330487827918</v>
      </c>
      <c r="L100">
        <f t="shared" si="59"/>
        <v>1.0231563111374573</v>
      </c>
      <c r="M100">
        <f t="shared" si="59"/>
        <v>0.83752830490148611</v>
      </c>
      <c r="N100">
        <f t="shared" si="60"/>
        <v>0.66056126990950204</v>
      </c>
      <c r="O100">
        <f t="shared" si="60"/>
        <v>0.50080690936269634</v>
      </c>
      <c r="P100">
        <f t="shared" si="60"/>
        <v>0.36424660398419445</v>
      </c>
      <c r="Q100">
        <f t="shared" si="60"/>
        <v>0.25370963399509872</v>
      </c>
      <c r="R100">
        <f t="shared" si="60"/>
        <v>0.1689865365681289</v>
      </c>
      <c r="S100">
        <f t="shared" si="60"/>
        <v>0.10749616323144622</v>
      </c>
      <c r="T100">
        <f t="shared" si="60"/>
        <v>6.5236767646230681E-2</v>
      </c>
      <c r="U100">
        <f t="shared" si="60"/>
        <v>3.7735668072150855E-2</v>
      </c>
      <c r="V100">
        <f t="shared" si="60"/>
        <v>2.0788887359504606E-2</v>
      </c>
      <c r="W100">
        <f t="shared" si="60"/>
        <v>1.0900295495736767E-2</v>
      </c>
    </row>
    <row r="101" spans="1:23" x14ac:dyDescent="0.2">
      <c r="A101" s="1">
        <f t="shared" si="61"/>
        <v>4</v>
      </c>
      <c r="D101">
        <f t="shared" si="59"/>
        <v>1.9427875947537616</v>
      </c>
      <c r="E101">
        <f t="shared" si="59"/>
        <v>1.904605292303108</v>
      </c>
      <c r="F101">
        <f t="shared" si="59"/>
        <v>1.848290705015623</v>
      </c>
      <c r="G101">
        <f t="shared" si="59"/>
        <v>1.7696421962409044</v>
      </c>
      <c r="H101">
        <f t="shared" si="59"/>
        <v>1.665633160257864</v>
      </c>
      <c r="I101">
        <f t="shared" si="59"/>
        <v>1.535387636486897</v>
      </c>
      <c r="J101">
        <f t="shared" si="59"/>
        <v>1.3809454888452732</v>
      </c>
      <c r="K101">
        <f t="shared" si="59"/>
        <v>1.2075330487827918</v>
      </c>
      <c r="L101">
        <f t="shared" si="59"/>
        <v>1.0231563111374573</v>
      </c>
      <c r="M101">
        <f t="shared" si="59"/>
        <v>0.83752830490148611</v>
      </c>
      <c r="N101">
        <f t="shared" si="60"/>
        <v>0.66056126990950204</v>
      </c>
      <c r="O101">
        <f t="shared" si="60"/>
        <v>0.50080690936269634</v>
      </c>
      <c r="P101">
        <f t="shared" si="60"/>
        <v>0.36424660398419445</v>
      </c>
      <c r="Q101">
        <f t="shared" si="60"/>
        <v>0.25370963399509872</v>
      </c>
      <c r="R101">
        <f t="shared" si="60"/>
        <v>0.1689865365681289</v>
      </c>
      <c r="S101">
        <f t="shared" si="60"/>
        <v>0.10749616323144622</v>
      </c>
      <c r="T101">
        <f t="shared" si="60"/>
        <v>6.5236767646230681E-2</v>
      </c>
      <c r="U101">
        <f t="shared" si="60"/>
        <v>3.7735668072150855E-2</v>
      </c>
      <c r="V101">
        <f t="shared" si="60"/>
        <v>2.0788887359504606E-2</v>
      </c>
      <c r="W101">
        <f t="shared" si="60"/>
        <v>1.0900295495736767E-2</v>
      </c>
    </row>
    <row r="102" spans="1:23" x14ac:dyDescent="0.2">
      <c r="A102" s="1">
        <f t="shared" si="61"/>
        <v>4.5</v>
      </c>
      <c r="D102">
        <f t="shared" si="59"/>
        <v>1.9427875947537616</v>
      </c>
      <c r="E102">
        <f t="shared" si="59"/>
        <v>1.904605292303108</v>
      </c>
      <c r="F102">
        <f t="shared" si="59"/>
        <v>1.848290705015623</v>
      </c>
      <c r="G102">
        <f t="shared" si="59"/>
        <v>1.7696421962409044</v>
      </c>
      <c r="H102">
        <f t="shared" si="59"/>
        <v>1.665633160257864</v>
      </c>
      <c r="I102">
        <f t="shared" si="59"/>
        <v>1.535387636486897</v>
      </c>
      <c r="J102">
        <f t="shared" si="59"/>
        <v>1.3809454888452732</v>
      </c>
      <c r="K102">
        <f t="shared" si="59"/>
        <v>1.2075330487827918</v>
      </c>
      <c r="L102">
        <f t="shared" si="59"/>
        <v>1.0231563111374573</v>
      </c>
      <c r="M102">
        <f t="shared" si="59"/>
        <v>0.83752830490148611</v>
      </c>
      <c r="N102">
        <f t="shared" si="60"/>
        <v>0.66056126990950204</v>
      </c>
      <c r="O102">
        <f t="shared" si="60"/>
        <v>0.50080690936269634</v>
      </c>
      <c r="P102">
        <f t="shared" si="60"/>
        <v>0.36424660398419445</v>
      </c>
      <c r="Q102">
        <f t="shared" si="60"/>
        <v>0.25370963399509872</v>
      </c>
      <c r="R102">
        <f t="shared" si="60"/>
        <v>0.1689865365681289</v>
      </c>
      <c r="S102">
        <f t="shared" si="60"/>
        <v>0.10749616323144622</v>
      </c>
      <c r="T102">
        <f t="shared" si="60"/>
        <v>6.5236767646230681E-2</v>
      </c>
      <c r="U102">
        <f t="shared" si="60"/>
        <v>3.7735668072150855E-2</v>
      </c>
      <c r="V102">
        <f t="shared" si="60"/>
        <v>2.0788887359504606E-2</v>
      </c>
      <c r="W102">
        <f t="shared" si="60"/>
        <v>1.0900295495736767E-2</v>
      </c>
    </row>
    <row r="103" spans="1:23" x14ac:dyDescent="0.2">
      <c r="A103" s="1">
        <f t="shared" si="61"/>
        <v>5</v>
      </c>
      <c r="D103">
        <f t="shared" si="59"/>
        <v>1.9427875947537616</v>
      </c>
      <c r="E103">
        <f t="shared" si="59"/>
        <v>1.904605292303108</v>
      </c>
      <c r="F103">
        <f t="shared" si="59"/>
        <v>1.848290705015623</v>
      </c>
      <c r="G103">
        <f t="shared" si="59"/>
        <v>1.7696421962409044</v>
      </c>
      <c r="H103">
        <f t="shared" si="59"/>
        <v>1.665633160257864</v>
      </c>
      <c r="I103">
        <f t="shared" si="59"/>
        <v>1.535387636486897</v>
      </c>
      <c r="J103">
        <f t="shared" si="59"/>
        <v>1.3809454888452732</v>
      </c>
      <c r="K103">
        <f t="shared" si="59"/>
        <v>1.2075330487827918</v>
      </c>
      <c r="L103">
        <f t="shared" si="59"/>
        <v>1.0231563111374573</v>
      </c>
      <c r="M103">
        <f t="shared" si="59"/>
        <v>0.83752830490148611</v>
      </c>
      <c r="N103">
        <f t="shared" si="60"/>
        <v>0.66056126990950204</v>
      </c>
      <c r="O103">
        <f t="shared" si="60"/>
        <v>0.50080690936269634</v>
      </c>
      <c r="P103">
        <f t="shared" si="60"/>
        <v>0.36424660398419445</v>
      </c>
      <c r="Q103">
        <f t="shared" si="60"/>
        <v>0.25370963399509872</v>
      </c>
      <c r="R103">
        <f t="shared" si="60"/>
        <v>0.1689865365681289</v>
      </c>
      <c r="S103">
        <f t="shared" si="60"/>
        <v>0.10749616323144622</v>
      </c>
      <c r="T103">
        <f t="shared" si="60"/>
        <v>6.5236767646230681E-2</v>
      </c>
      <c r="U103">
        <f t="shared" si="60"/>
        <v>3.7735668072150855E-2</v>
      </c>
      <c r="V103">
        <f t="shared" si="60"/>
        <v>2.0788887359504606E-2</v>
      </c>
      <c r="W103">
        <f t="shared" si="60"/>
        <v>1.0900295495736767E-2</v>
      </c>
    </row>
    <row r="105" spans="1:23" x14ac:dyDescent="0.2">
      <c r="A105" t="s">
        <v>26</v>
      </c>
    </row>
    <row r="106" spans="1:23" x14ac:dyDescent="0.2">
      <c r="A106" t="s">
        <v>21</v>
      </c>
      <c r="B106" t="s">
        <v>22</v>
      </c>
      <c r="C106" s="2">
        <v>1E-3</v>
      </c>
      <c r="D106">
        <f>+C106+dx</f>
        <v>1.0009999999999999</v>
      </c>
      <c r="E106">
        <f t="shared" ref="E106:W106" si="62">+D106+dx</f>
        <v>2.0009999999999999</v>
      </c>
      <c r="F106">
        <f t="shared" si="62"/>
        <v>3.0009999999999999</v>
      </c>
      <c r="G106">
        <f t="shared" si="62"/>
        <v>4.0009999999999994</v>
      </c>
      <c r="H106">
        <f t="shared" si="62"/>
        <v>5.0009999999999994</v>
      </c>
      <c r="I106">
        <f t="shared" si="62"/>
        <v>6.0009999999999994</v>
      </c>
      <c r="J106">
        <f t="shared" si="62"/>
        <v>7.0009999999999994</v>
      </c>
      <c r="K106">
        <f t="shared" si="62"/>
        <v>8.0009999999999994</v>
      </c>
      <c r="L106">
        <f t="shared" si="62"/>
        <v>9.0009999999999994</v>
      </c>
      <c r="M106">
        <f t="shared" si="62"/>
        <v>10.000999999999999</v>
      </c>
      <c r="N106">
        <f t="shared" si="62"/>
        <v>11.000999999999999</v>
      </c>
      <c r="O106">
        <f t="shared" si="62"/>
        <v>12.000999999999999</v>
      </c>
      <c r="P106">
        <f t="shared" si="62"/>
        <v>13.000999999999999</v>
      </c>
      <c r="Q106">
        <f t="shared" si="62"/>
        <v>14.000999999999999</v>
      </c>
      <c r="R106">
        <f t="shared" si="62"/>
        <v>15.000999999999999</v>
      </c>
      <c r="S106">
        <f t="shared" si="62"/>
        <v>16.000999999999998</v>
      </c>
      <c r="T106">
        <f t="shared" si="62"/>
        <v>17.000999999999998</v>
      </c>
      <c r="U106">
        <f t="shared" si="62"/>
        <v>18.000999999999998</v>
      </c>
      <c r="V106">
        <f t="shared" si="62"/>
        <v>19.000999999999998</v>
      </c>
      <c r="W106">
        <f t="shared" si="62"/>
        <v>20.000999999999998</v>
      </c>
    </row>
    <row r="107" spans="1:23" x14ac:dyDescent="0.2">
      <c r="A107" s="1">
        <f t="shared" ref="A107:A115" si="63">+A108+dy</f>
        <v>5</v>
      </c>
      <c r="C107">
        <f t="shared" ref="C107:C127" si="64">IF(Y/2-A107&lt;0,0,IF(d&gt;Z,0,Co))</f>
        <v>0</v>
      </c>
      <c r="D107">
        <f t="shared" ref="D107:M116" si="65">IF((($A107+Y/2)/(2*(ay*D$106)^0.5))&gt;27,1,IF((($A107+Y/2)/(2*(ay*D$106)^0.5))&gt;0,ERF(($A107+Y/2)/(2*(ay*D$106)^0.5)),IF((($A107+Y/2)/(2*(ay*D$106)^0.5))&lt;-27,-1,-ERF(ABS(($A107+Y/2)/(2*(ay*D$106)^0.5))))))</f>
        <v>1</v>
      </c>
      <c r="E107">
        <f t="shared" si="65"/>
        <v>1</v>
      </c>
      <c r="F107">
        <f t="shared" si="65"/>
        <v>1</v>
      </c>
      <c r="G107">
        <f t="shared" si="65"/>
        <v>0.99999999999963052</v>
      </c>
      <c r="H107">
        <f t="shared" si="65"/>
        <v>0.99999999991933231</v>
      </c>
      <c r="I107">
        <f t="shared" si="65"/>
        <v>0.99999999702852993</v>
      </c>
      <c r="J107">
        <f t="shared" si="65"/>
        <v>0.99999996050840434</v>
      </c>
      <c r="K107">
        <f t="shared" si="65"/>
        <v>0.99999972288302041</v>
      </c>
      <c r="L107">
        <f t="shared" si="65"/>
        <v>0.99999873097728331</v>
      </c>
      <c r="M107">
        <f t="shared" si="65"/>
        <v>0.99999569247516995</v>
      </c>
      <c r="N107">
        <f t="shared" ref="N107:W116" si="66">IF((($A107+Y/2)/(2*(ay*N$106)^0.5))&gt;27,1,IF((($A107+Y/2)/(2*(ay*N$106)^0.5))&gt;0,ERF(($A107+Y/2)/(2*(ay*N$106)^0.5)),IF((($A107+Y/2)/(2*(ay*N$106)^0.5))&lt;-27,-1,-ERF(ABS(($A107+Y/2)/(2*(ay*N$106)^0.5))))))</f>
        <v>0.99998824591257496</v>
      </c>
      <c r="O107">
        <f t="shared" si="66"/>
        <v>0.99997277983583599</v>
      </c>
      <c r="P107">
        <f t="shared" si="66"/>
        <v>0.99994445377345509</v>
      </c>
      <c r="Q107">
        <f t="shared" si="66"/>
        <v>0.99989739778305198</v>
      </c>
      <c r="R107">
        <f t="shared" si="66"/>
        <v>0.999825026091267</v>
      </c>
      <c r="S107">
        <f t="shared" si="66"/>
        <v>0.99972039421201531</v>
      </c>
      <c r="T107">
        <f t="shared" si="66"/>
        <v>0.99957654320824685</v>
      </c>
      <c r="U107">
        <f t="shared" si="66"/>
        <v>0.99938679545380893</v>
      </c>
      <c r="V107">
        <f t="shared" si="66"/>
        <v>0.99914498509066485</v>
      </c>
      <c r="W107">
        <f t="shared" si="66"/>
        <v>0.99884562016373957</v>
      </c>
    </row>
    <row r="108" spans="1:23" x14ac:dyDescent="0.2">
      <c r="A108" s="1">
        <f t="shared" si="63"/>
        <v>4.5</v>
      </c>
      <c r="C108">
        <f t="shared" si="64"/>
        <v>0</v>
      </c>
      <c r="D108">
        <f t="shared" si="65"/>
        <v>1</v>
      </c>
      <c r="E108">
        <f t="shared" si="65"/>
        <v>1</v>
      </c>
      <c r="F108">
        <f t="shared" si="65"/>
        <v>0.99999999999999045</v>
      </c>
      <c r="G108">
        <f t="shared" si="65"/>
        <v>0.99999999998018307</v>
      </c>
      <c r="H108">
        <f t="shared" si="65"/>
        <v>0.99999999801952166</v>
      </c>
      <c r="I108">
        <f t="shared" si="65"/>
        <v>0.99999995668383967</v>
      </c>
      <c r="J108">
        <f t="shared" si="65"/>
        <v>0.99999960336016014</v>
      </c>
      <c r="K108">
        <f t="shared" si="65"/>
        <v>0.99999789548537454</v>
      </c>
      <c r="L108">
        <f t="shared" si="65"/>
        <v>0.99999224677941689</v>
      </c>
      <c r="M108">
        <f t="shared" si="65"/>
        <v>0.99997788860720926</v>
      </c>
      <c r="N108">
        <f t="shared" si="66"/>
        <v>0.99994768029618031</v>
      </c>
      <c r="O108">
        <f t="shared" si="66"/>
        <v>0.99989241759139058</v>
      </c>
      <c r="P108">
        <f t="shared" si="66"/>
        <v>0.99980148511736688</v>
      </c>
      <c r="Q108">
        <f t="shared" si="66"/>
        <v>0.99966364147486175</v>
      </c>
      <c r="R108">
        <f t="shared" si="66"/>
        <v>0.99946776608876997</v>
      </c>
      <c r="S108">
        <f t="shared" si="66"/>
        <v>0.99920346818370209</v>
      </c>
      <c r="T108">
        <f t="shared" si="66"/>
        <v>0.99886152095951908</v>
      </c>
      <c r="U108">
        <f t="shared" si="66"/>
        <v>0.99843412545349508</v>
      </c>
      <c r="V108">
        <f t="shared" si="66"/>
        <v>0.99791503005711912</v>
      </c>
      <c r="W108">
        <f t="shared" si="66"/>
        <v>0.99729953910961933</v>
      </c>
    </row>
    <row r="109" spans="1:23" x14ac:dyDescent="0.2">
      <c r="A109" s="1">
        <f t="shared" si="63"/>
        <v>4</v>
      </c>
      <c r="C109">
        <f t="shared" si="64"/>
        <v>0</v>
      </c>
      <c r="D109">
        <f t="shared" si="65"/>
        <v>1</v>
      </c>
      <c r="E109">
        <f t="shared" si="65"/>
        <v>1</v>
      </c>
      <c r="F109">
        <f t="shared" si="65"/>
        <v>0.999999999998746</v>
      </c>
      <c r="G109">
        <f t="shared" si="65"/>
        <v>0.99999999921740645</v>
      </c>
      <c r="H109">
        <f t="shared" si="65"/>
        <v>0.99999996190224616</v>
      </c>
      <c r="I109">
        <f t="shared" si="65"/>
        <v>0.99999948428429419</v>
      </c>
      <c r="J109">
        <f t="shared" si="65"/>
        <v>0.9999966485774533</v>
      </c>
      <c r="K109">
        <f t="shared" si="65"/>
        <v>0.9999862527725053</v>
      </c>
      <c r="L109">
        <f t="shared" si="65"/>
        <v>0.999958547347224</v>
      </c>
      <c r="M109">
        <f t="shared" si="65"/>
        <v>0.99989929744031991</v>
      </c>
      <c r="N109">
        <f t="shared" si="66"/>
        <v>0.99979104018494047</v>
      </c>
      <c r="O109">
        <f t="shared" si="66"/>
        <v>0.99961489587071883</v>
      </c>
      <c r="P109">
        <f t="shared" si="66"/>
        <v>0.99935233120916067</v>
      </c>
      <c r="Q109">
        <f t="shared" si="66"/>
        <v>0.99898653297359619</v>
      </c>
      <c r="R109">
        <f t="shared" si="66"/>
        <v>0.99850328982152847</v>
      </c>
      <c r="S109">
        <f t="shared" si="66"/>
        <v>0.99789142435366429</v>
      </c>
      <c r="T109">
        <f t="shared" si="66"/>
        <v>0.99714287762386955</v>
      </c>
      <c r="U109">
        <f t="shared" si="66"/>
        <v>0.99625255694738291</v>
      </c>
      <c r="V109">
        <f t="shared" si="66"/>
        <v>0.99521804224921151</v>
      </c>
      <c r="W109">
        <f t="shared" si="66"/>
        <v>0.99403922309373749</v>
      </c>
    </row>
    <row r="110" spans="1:23" x14ac:dyDescent="0.2">
      <c r="A110" s="1">
        <f t="shared" si="63"/>
        <v>3.5</v>
      </c>
      <c r="C110">
        <f t="shared" si="64"/>
        <v>0</v>
      </c>
      <c r="D110">
        <f t="shared" si="65"/>
        <v>1</v>
      </c>
      <c r="E110">
        <f t="shared" si="65"/>
        <v>0.99999999999999734</v>
      </c>
      <c r="F110">
        <f t="shared" si="65"/>
        <v>0.99999999989098987</v>
      </c>
      <c r="G110">
        <f t="shared" si="65"/>
        <v>0.99999997722379996</v>
      </c>
      <c r="H110">
        <f t="shared" si="65"/>
        <v>0.99999942520850038</v>
      </c>
      <c r="I110">
        <f t="shared" si="65"/>
        <v>0.99999498057812386</v>
      </c>
      <c r="J110">
        <f t="shared" si="65"/>
        <v>0.99997615568431164</v>
      </c>
      <c r="K110">
        <f t="shared" si="65"/>
        <v>0.99992269340947415</v>
      </c>
      <c r="L110">
        <f t="shared" si="65"/>
        <v>0.99980589907713679</v>
      </c>
      <c r="M110">
        <f t="shared" si="65"/>
        <v>0.99959277563235316</v>
      </c>
      <c r="N110">
        <f t="shared" si="66"/>
        <v>0.99925062289763766</v>
      </c>
      <c r="O110">
        <f t="shared" si="66"/>
        <v>0.99875058191488819</v>
      </c>
      <c r="P110">
        <f t="shared" si="66"/>
        <v>0.9980696822914743</v>
      </c>
      <c r="Q110">
        <f t="shared" si="66"/>
        <v>0.99719158113564899</v>
      </c>
      <c r="R110">
        <f t="shared" si="66"/>
        <v>0.99610639244014443</v>
      </c>
      <c r="S110">
        <f t="shared" si="66"/>
        <v>0.9948099904253439</v>
      </c>
      <c r="T110">
        <f t="shared" si="66"/>
        <v>0.99330307563536102</v>
      </c>
      <c r="U110">
        <f t="shared" si="66"/>
        <v>0.99159019194114451</v>
      </c>
      <c r="V110">
        <f t="shared" si="66"/>
        <v>0.98967880259520913</v>
      </c>
      <c r="W110">
        <f t="shared" si="66"/>
        <v>0.98757847822187705</v>
      </c>
    </row>
    <row r="111" spans="1:23" x14ac:dyDescent="0.2">
      <c r="A111" s="1">
        <f t="shared" si="63"/>
        <v>3</v>
      </c>
      <c r="C111">
        <f t="shared" si="64"/>
        <v>0</v>
      </c>
      <c r="D111">
        <f t="shared" si="65"/>
        <v>1</v>
      </c>
      <c r="E111">
        <f t="shared" si="65"/>
        <v>0.99999999999886735</v>
      </c>
      <c r="F111">
        <f t="shared" si="65"/>
        <v>0.99999999369676107</v>
      </c>
      <c r="G111">
        <f t="shared" si="65"/>
        <v>0.99999951085929095</v>
      </c>
      <c r="H111">
        <f t="shared" si="65"/>
        <v>0.99999319025597078</v>
      </c>
      <c r="I111">
        <f t="shared" si="65"/>
        <v>0.99996001683199465</v>
      </c>
      <c r="J111">
        <f t="shared" si="65"/>
        <v>0.99985700090989604</v>
      </c>
      <c r="K111">
        <f t="shared" si="65"/>
        <v>0.99962537091736048</v>
      </c>
      <c r="L111">
        <f t="shared" si="65"/>
        <v>0.99920323350649676</v>
      </c>
      <c r="M111">
        <f t="shared" si="65"/>
        <v>0.99853647975929805</v>
      </c>
      <c r="N111">
        <f t="shared" si="66"/>
        <v>0.99758474700347433</v>
      </c>
      <c r="O111">
        <f t="shared" si="66"/>
        <v>0.99632296651907537</v>
      </c>
      <c r="P111">
        <f t="shared" si="66"/>
        <v>0.99474016119220632</v>
      </c>
      <c r="Q111">
        <f t="shared" si="66"/>
        <v>0.9928369711360413</v>
      </c>
      <c r="R111">
        <f t="shared" si="66"/>
        <v>0.99062286696085466</v>
      </c>
      <c r="S111">
        <f t="shared" si="66"/>
        <v>0.98811356033415099</v>
      </c>
      <c r="T111">
        <f t="shared" si="66"/>
        <v>0.9853288253004383</v>
      </c>
      <c r="U111">
        <f t="shared" si="66"/>
        <v>0.98229077728826131</v>
      </c>
      <c r="V111">
        <f t="shared" si="66"/>
        <v>0.97902257564618189</v>
      </c>
      <c r="W111">
        <f t="shared" si="66"/>
        <v>0.97554748388702539</v>
      </c>
    </row>
    <row r="112" spans="1:23" x14ac:dyDescent="0.2">
      <c r="A112" s="1">
        <f t="shared" si="63"/>
        <v>2.5</v>
      </c>
      <c r="C112">
        <f t="shared" si="64"/>
        <v>0</v>
      </c>
      <c r="D112">
        <f t="shared" si="65"/>
        <v>1</v>
      </c>
      <c r="E112">
        <f t="shared" si="65"/>
        <v>0.99999999974342479</v>
      </c>
      <c r="F112">
        <f t="shared" si="65"/>
        <v>0.99999975712922318</v>
      </c>
      <c r="G112">
        <f t="shared" si="65"/>
        <v>0.99999223551226479</v>
      </c>
      <c r="H112">
        <f t="shared" si="65"/>
        <v>0.99993655038254159</v>
      </c>
      <c r="I112">
        <f t="shared" si="65"/>
        <v>0.99973896125318729</v>
      </c>
      <c r="J112">
        <f t="shared" si="65"/>
        <v>0.99927613157806972</v>
      </c>
      <c r="K112">
        <f t="shared" si="65"/>
        <v>0.99843353496372989</v>
      </c>
      <c r="L112">
        <f t="shared" si="65"/>
        <v>0.99712933494732003</v>
      </c>
      <c r="M112">
        <f t="shared" si="65"/>
        <v>0.99532019806208083</v>
      </c>
      <c r="N112">
        <f t="shared" si="66"/>
        <v>0.99299648076653158</v>
      </c>
      <c r="O112">
        <f t="shared" si="66"/>
        <v>0.99017366304894316</v>
      </c>
      <c r="P112">
        <f t="shared" si="66"/>
        <v>0.98688382698910126</v>
      </c>
      <c r="Q112">
        <f t="shared" si="66"/>
        <v>0.98316867812240238</v>
      </c>
      <c r="R112">
        <f t="shared" si="66"/>
        <v>0.97907439674053309</v>
      </c>
      <c r="S112">
        <f t="shared" si="66"/>
        <v>0.9746481046224712</v>
      </c>
      <c r="T112">
        <f t="shared" si="66"/>
        <v>0.96993559124001438</v>
      </c>
      <c r="U112">
        <f t="shared" si="66"/>
        <v>0.96497995541795212</v>
      </c>
      <c r="V112">
        <f t="shared" si="66"/>
        <v>0.95982088130574095</v>
      </c>
      <c r="W112">
        <f t="shared" si="66"/>
        <v>0.95449433693950658</v>
      </c>
    </row>
    <row r="113" spans="1:23" x14ac:dyDescent="0.2">
      <c r="A113" s="1">
        <f t="shared" si="63"/>
        <v>2</v>
      </c>
      <c r="C113">
        <f t="shared" si="64"/>
        <v>0</v>
      </c>
      <c r="D113">
        <f t="shared" si="65"/>
        <v>0.99999999999999478</v>
      </c>
      <c r="E113">
        <f t="shared" si="65"/>
        <v>0.99999996844868178</v>
      </c>
      <c r="F113">
        <f t="shared" si="65"/>
        <v>0.99999374931984208</v>
      </c>
      <c r="G113">
        <f t="shared" si="65"/>
        <v>0.99990870360518491</v>
      </c>
      <c r="H113">
        <f t="shared" si="65"/>
        <v>0.99953413068146801</v>
      </c>
      <c r="I113">
        <f t="shared" si="65"/>
        <v>0.99860063516410813</v>
      </c>
      <c r="J113">
        <f t="shared" si="65"/>
        <v>0.99690185685633648</v>
      </c>
      <c r="K113">
        <f t="shared" si="65"/>
        <v>0.99433940055079695</v>
      </c>
      <c r="L113">
        <f t="shared" si="65"/>
        <v>0.99090868363857609</v>
      </c>
      <c r="M113">
        <f t="shared" si="65"/>
        <v>0.98666705304628877</v>
      </c>
      <c r="N113">
        <f t="shared" si="66"/>
        <v>0.98170496930313478</v>
      </c>
      <c r="O113">
        <f t="shared" si="66"/>
        <v>0.97612570515823827</v>
      </c>
      <c r="P113">
        <f t="shared" si="66"/>
        <v>0.97003285587869603</v>
      </c>
      <c r="Q113">
        <f t="shared" si="66"/>
        <v>0.96352348216326633</v>
      </c>
      <c r="R113">
        <f t="shared" si="66"/>
        <v>0.95668488049806666</v>
      </c>
      <c r="S113">
        <f t="shared" si="66"/>
        <v>0.94959352227468441</v>
      </c>
      <c r="T113">
        <f t="shared" si="66"/>
        <v>0.94231520385606626</v>
      </c>
      <c r="U113">
        <f t="shared" si="66"/>
        <v>0.93490581498175263</v>
      </c>
      <c r="V113">
        <f t="shared" si="66"/>
        <v>0.92741237481055228</v>
      </c>
      <c r="W113">
        <f t="shared" si="66"/>
        <v>0.91987413700107556</v>
      </c>
    </row>
    <row r="114" spans="1:23" x14ac:dyDescent="0.2">
      <c r="A114" s="1">
        <f t="shared" si="63"/>
        <v>1.5</v>
      </c>
      <c r="C114">
        <f t="shared" si="64"/>
        <v>24.802135936032801</v>
      </c>
      <c r="D114">
        <f t="shared" si="65"/>
        <v>0.99999999997983902</v>
      </c>
      <c r="E114">
        <f t="shared" si="65"/>
        <v>0.99999788622683139</v>
      </c>
      <c r="F114">
        <f t="shared" si="65"/>
        <v>0.99989220368199716</v>
      </c>
      <c r="G114">
        <f t="shared" si="65"/>
        <v>0.99920256274092689</v>
      </c>
      <c r="H114">
        <f t="shared" si="65"/>
        <v>0.99729754402993331</v>
      </c>
      <c r="I114">
        <f t="shared" si="65"/>
        <v>0.99382581749714061</v>
      </c>
      <c r="J114">
        <f t="shared" si="65"/>
        <v>0.98876430602536014</v>
      </c>
      <c r="K114">
        <f t="shared" si="65"/>
        <v>0.9822868308341377</v>
      </c>
      <c r="L114">
        <f t="shared" si="65"/>
        <v>0.97464454476914464</v>
      </c>
      <c r="M114">
        <f t="shared" si="65"/>
        <v>0.96609622636916381</v>
      </c>
      <c r="N114">
        <f t="shared" si="66"/>
        <v>0.95687606666388914</v>
      </c>
      <c r="O114">
        <f t="shared" si="66"/>
        <v>0.94718261558507322</v>
      </c>
      <c r="P114">
        <f t="shared" si="66"/>
        <v>0.93717803804904198</v>
      </c>
      <c r="Q114">
        <f t="shared" si="66"/>
        <v>0.92699171332724073</v>
      </c>
      <c r="R114">
        <f t="shared" si="66"/>
        <v>0.91672520464780738</v>
      </c>
      <c r="S114">
        <f t="shared" si="66"/>
        <v>0.90645724003426542</v>
      </c>
      <c r="T114">
        <f t="shared" si="66"/>
        <v>0.89624815836000271</v>
      </c>
      <c r="U114">
        <f t="shared" si="66"/>
        <v>0.88614366193014393</v>
      </c>
      <c r="V114">
        <f t="shared" si="66"/>
        <v>0.87617788868507651</v>
      </c>
      <c r="W114">
        <f t="shared" si="66"/>
        <v>0.86637588373367846</v>
      </c>
    </row>
    <row r="115" spans="1:23" x14ac:dyDescent="0.2">
      <c r="A115" s="1">
        <f t="shared" si="63"/>
        <v>1</v>
      </c>
      <c r="C115">
        <f t="shared" si="64"/>
        <v>24.802135936032801</v>
      </c>
      <c r="D115">
        <f t="shared" si="65"/>
        <v>0.99999997694750165</v>
      </c>
      <c r="E115">
        <f t="shared" si="65"/>
        <v>0.99992245364646182</v>
      </c>
      <c r="F115">
        <f t="shared" si="65"/>
        <v>0.99874881953521366</v>
      </c>
      <c r="G115">
        <f t="shared" si="65"/>
        <v>0.99480578309334011</v>
      </c>
      <c r="H115">
        <f t="shared" si="65"/>
        <v>0.98757190377414983</v>
      </c>
      <c r="I115">
        <f t="shared" si="65"/>
        <v>0.9775099019804091</v>
      </c>
      <c r="J115">
        <f t="shared" si="65"/>
        <v>0.96537652126793261</v>
      </c>
      <c r="K115">
        <f t="shared" si="65"/>
        <v>0.95187919295446699</v>
      </c>
      <c r="L115">
        <f t="shared" si="65"/>
        <v>0.93757802705725035</v>
      </c>
      <c r="M115">
        <f t="shared" si="65"/>
        <v>0.92288534564014968</v>
      </c>
      <c r="N115">
        <f t="shared" si="66"/>
        <v>0.90809301997559888</v>
      </c>
      <c r="O115">
        <f t="shared" si="66"/>
        <v>0.89340223986316003</v>
      </c>
      <c r="P115">
        <f t="shared" si="66"/>
        <v>0.87894835753843359</v>
      </c>
      <c r="Q115">
        <f t="shared" si="66"/>
        <v>0.86481978210600463</v>
      </c>
      <c r="R115">
        <f t="shared" si="66"/>
        <v>0.8510717811207793</v>
      </c>
      <c r="S115">
        <f t="shared" si="66"/>
        <v>0.83773637717800475</v>
      </c>
      <c r="T115">
        <f t="shared" si="66"/>
        <v>0.8248293867988703</v>
      </c>
      <c r="U115">
        <f t="shared" si="66"/>
        <v>0.81235541179792525</v>
      </c>
      <c r="V115">
        <f t="shared" si="66"/>
        <v>0.80031137680135167</v>
      </c>
      <c r="W115">
        <f t="shared" si="66"/>
        <v>0.78868903730357409</v>
      </c>
    </row>
    <row r="116" spans="1:23" x14ac:dyDescent="0.2">
      <c r="A116" s="1">
        <f>+A117+dy</f>
        <v>0.5</v>
      </c>
      <c r="C116">
        <f t="shared" si="64"/>
        <v>24.802135936032801</v>
      </c>
      <c r="D116">
        <f t="shared" si="65"/>
        <v>0.99999217443948685</v>
      </c>
      <c r="E116">
        <f t="shared" si="65"/>
        <v>0.9984303438391221</v>
      </c>
      <c r="F116">
        <f t="shared" si="65"/>
        <v>0.99016447291168919</v>
      </c>
      <c r="G116">
        <f t="shared" si="65"/>
        <v>0.97463437280652754</v>
      </c>
      <c r="H116">
        <f t="shared" si="65"/>
        <v>0.95447813863754083</v>
      </c>
      <c r="I116">
        <f t="shared" si="65"/>
        <v>0.9320879164039727</v>
      </c>
      <c r="J116">
        <f t="shared" si="65"/>
        <v>0.90900796568410835</v>
      </c>
      <c r="K116">
        <f t="shared" si="65"/>
        <v>0.88613111204728701</v>
      </c>
      <c r="L116">
        <f t="shared" si="65"/>
        <v>0.86394111972071974</v>
      </c>
      <c r="M116">
        <f t="shared" si="65"/>
        <v>0.84268003809373693</v>
      </c>
      <c r="N116">
        <f t="shared" si="66"/>
        <v>0.82245044554743751</v>
      </c>
      <c r="O116">
        <f t="shared" si="66"/>
        <v>0.80327574538404456</v>
      </c>
      <c r="P116">
        <f t="shared" si="66"/>
        <v>0.78513541557666766</v>
      </c>
      <c r="Q116">
        <f t="shared" si="66"/>
        <v>0.76798560349684253</v>
      </c>
      <c r="R116">
        <f t="shared" si="66"/>
        <v>0.75177115410486028</v>
      </c>
      <c r="S116">
        <f t="shared" si="66"/>
        <v>0.7364326016746654</v>
      </c>
      <c r="T116">
        <f t="shared" si="66"/>
        <v>0.72191017913157296</v>
      </c>
      <c r="U116">
        <f t="shared" si="66"/>
        <v>0.70814605098641703</v>
      </c>
      <c r="V116">
        <f t="shared" si="66"/>
        <v>0.6950854853648929</v>
      </c>
      <c r="W116">
        <f t="shared" si="66"/>
        <v>0.68267739390331572</v>
      </c>
    </row>
    <row r="117" spans="1:23" x14ac:dyDescent="0.2">
      <c r="A117" s="1">
        <v>0</v>
      </c>
      <c r="C117">
        <f t="shared" si="64"/>
        <v>24.802135936032801</v>
      </c>
      <c r="D117">
        <f t="shared" ref="D117:M127" si="67">IF((($A117+Y/2)/(2*(ay*D$106)^0.5))&gt;27,1,IF((($A117+Y/2)/(2*(ay*D$106)^0.5))&gt;0,ERF(($A117+Y/2)/(2*(ay*D$106)^0.5)),IF((($A117+Y/2)/(2*(ay*D$106)^0.5))&lt;-27,-1,-ERF(ABS(($A117+Y/2)/(2*(ay*D$106)^0.5))))))</f>
        <v>0.99919893396591453</v>
      </c>
      <c r="E117">
        <f t="shared" si="67"/>
        <v>0.98226551376952165</v>
      </c>
      <c r="F117">
        <f t="shared" si="67"/>
        <v>0.94715299473892134</v>
      </c>
      <c r="G117">
        <f t="shared" si="67"/>
        <v>0.9064264985651197</v>
      </c>
      <c r="H117">
        <f t="shared" si="67"/>
        <v>0.86634674364081476</v>
      </c>
      <c r="I117">
        <f t="shared" si="67"/>
        <v>0.82906082743109077</v>
      </c>
      <c r="J117">
        <f t="shared" si="67"/>
        <v>0.79507375940577485</v>
      </c>
      <c r="K117">
        <f t="shared" si="67"/>
        <v>0.76429081362646167</v>
      </c>
      <c r="L117">
        <f t="shared" si="67"/>
        <v>0.73642099698361685</v>
      </c>
      <c r="M117">
        <f t="shared" si="67"/>
        <v>0.71113152486852227</v>
      </c>
      <c r="N117">
        <f t="shared" ref="N117:W127" si="68">IF((($A117+Y/2)/(2*(ay*N$106)^0.5))&gt;27,1,IF((($A117+Y/2)/(2*(ay*N$106)^0.5))&gt;0,ERF(($A117+Y/2)/(2*(ay*N$106)^0.5)),IF((($A117+Y/2)/(2*(ay*N$106)^0.5))&lt;-27,-1,-ERF(ABS(($A117+Y/2)/(2*(ay*N$106)^0.5))))))</f>
        <v>0.68810504166180109</v>
      </c>
      <c r="O117">
        <f t="shared" si="68"/>
        <v>0.66705824911503264</v>
      </c>
      <c r="P117">
        <f t="shared" si="68"/>
        <v>0.64774526095649354</v>
      </c>
      <c r="Q117">
        <f t="shared" si="68"/>
        <v>0.62995519669047029</v>
      </c>
      <c r="R117">
        <f t="shared" si="68"/>
        <v>0.61350793952739202</v>
      </c>
      <c r="S117">
        <f t="shared" si="68"/>
        <v>0.59824965306516209</v>
      </c>
      <c r="T117">
        <f t="shared" si="68"/>
        <v>0.58404866186715609</v>
      </c>
      <c r="U117">
        <f t="shared" si="68"/>
        <v>0.57079188079369214</v>
      </c>
      <c r="V117">
        <f t="shared" si="68"/>
        <v>0.55838180448813057</v>
      </c>
      <c r="W117">
        <f t="shared" si="68"/>
        <v>0.54673400293661945</v>
      </c>
    </row>
    <row r="118" spans="1:23" x14ac:dyDescent="0.2">
      <c r="A118" s="1">
        <f>+A117+dy</f>
        <v>0.5</v>
      </c>
      <c r="C118">
        <f t="shared" si="64"/>
        <v>24.802135936032801</v>
      </c>
      <c r="D118">
        <f t="shared" si="67"/>
        <v>0.99999217443948685</v>
      </c>
      <c r="E118">
        <f t="shared" si="67"/>
        <v>0.9984303438391221</v>
      </c>
      <c r="F118">
        <f t="shared" si="67"/>
        <v>0.99016447291168919</v>
      </c>
      <c r="G118">
        <f t="shared" si="67"/>
        <v>0.97463437280652754</v>
      </c>
      <c r="H118">
        <f t="shared" si="67"/>
        <v>0.95447813863754083</v>
      </c>
      <c r="I118">
        <f t="shared" si="67"/>
        <v>0.9320879164039727</v>
      </c>
      <c r="J118">
        <f t="shared" si="67"/>
        <v>0.90900796568410835</v>
      </c>
      <c r="K118">
        <f t="shared" si="67"/>
        <v>0.88613111204728701</v>
      </c>
      <c r="L118">
        <f t="shared" si="67"/>
        <v>0.86394111972071974</v>
      </c>
      <c r="M118">
        <f t="shared" si="67"/>
        <v>0.84268003809373693</v>
      </c>
      <c r="N118">
        <f t="shared" si="68"/>
        <v>0.82245044554743751</v>
      </c>
      <c r="O118">
        <f t="shared" si="68"/>
        <v>0.80327574538404456</v>
      </c>
      <c r="P118">
        <f t="shared" si="68"/>
        <v>0.78513541557666766</v>
      </c>
      <c r="Q118">
        <f t="shared" si="68"/>
        <v>0.76798560349684253</v>
      </c>
      <c r="R118">
        <f t="shared" si="68"/>
        <v>0.75177115410486028</v>
      </c>
      <c r="S118">
        <f t="shared" si="68"/>
        <v>0.7364326016746654</v>
      </c>
      <c r="T118">
        <f t="shared" si="68"/>
        <v>0.72191017913157296</v>
      </c>
      <c r="U118">
        <f t="shared" si="68"/>
        <v>0.70814605098641703</v>
      </c>
      <c r="V118">
        <f t="shared" si="68"/>
        <v>0.6950854853648929</v>
      </c>
      <c r="W118">
        <f t="shared" si="68"/>
        <v>0.68267739390331572</v>
      </c>
    </row>
    <row r="119" spans="1:23" x14ac:dyDescent="0.2">
      <c r="A119" s="1">
        <f t="shared" ref="A119:A127" si="69">+A118+dy</f>
        <v>1</v>
      </c>
      <c r="C119">
        <f t="shared" si="64"/>
        <v>24.802135936032801</v>
      </c>
      <c r="D119">
        <f t="shared" si="67"/>
        <v>0.99999997694750165</v>
      </c>
      <c r="E119">
        <f t="shared" si="67"/>
        <v>0.99992245364646182</v>
      </c>
      <c r="F119">
        <f t="shared" si="67"/>
        <v>0.99874881953521366</v>
      </c>
      <c r="G119">
        <f t="shared" si="67"/>
        <v>0.99480578309334011</v>
      </c>
      <c r="H119">
        <f t="shared" si="67"/>
        <v>0.98757190377414983</v>
      </c>
      <c r="I119">
        <f t="shared" si="67"/>
        <v>0.9775099019804091</v>
      </c>
      <c r="J119">
        <f t="shared" si="67"/>
        <v>0.96537652126793261</v>
      </c>
      <c r="K119">
        <f t="shared" si="67"/>
        <v>0.95187919295446699</v>
      </c>
      <c r="L119">
        <f t="shared" si="67"/>
        <v>0.93757802705725035</v>
      </c>
      <c r="M119">
        <f t="shared" si="67"/>
        <v>0.92288534564014968</v>
      </c>
      <c r="N119">
        <f t="shared" si="68"/>
        <v>0.90809301997559888</v>
      </c>
      <c r="O119">
        <f t="shared" si="68"/>
        <v>0.89340223986316003</v>
      </c>
      <c r="P119">
        <f t="shared" si="68"/>
        <v>0.87894835753843359</v>
      </c>
      <c r="Q119">
        <f t="shared" si="68"/>
        <v>0.86481978210600463</v>
      </c>
      <c r="R119">
        <f t="shared" si="68"/>
        <v>0.8510717811207793</v>
      </c>
      <c r="S119">
        <f t="shared" si="68"/>
        <v>0.83773637717800475</v>
      </c>
      <c r="T119">
        <f t="shared" si="68"/>
        <v>0.8248293867988703</v>
      </c>
      <c r="U119">
        <f t="shared" si="68"/>
        <v>0.81235541179792525</v>
      </c>
      <c r="V119">
        <f t="shared" si="68"/>
        <v>0.80031137680135167</v>
      </c>
      <c r="W119">
        <f t="shared" si="68"/>
        <v>0.78868903730357409</v>
      </c>
    </row>
    <row r="120" spans="1:23" x14ac:dyDescent="0.2">
      <c r="A120" s="1">
        <f t="shared" si="69"/>
        <v>1.5</v>
      </c>
      <c r="C120">
        <f t="shared" si="64"/>
        <v>24.802135936032801</v>
      </c>
      <c r="D120">
        <f t="shared" si="67"/>
        <v>0.99999999997983902</v>
      </c>
      <c r="E120">
        <f t="shared" si="67"/>
        <v>0.99999788622683139</v>
      </c>
      <c r="F120">
        <f t="shared" si="67"/>
        <v>0.99989220368199716</v>
      </c>
      <c r="G120">
        <f t="shared" si="67"/>
        <v>0.99920256274092689</v>
      </c>
      <c r="H120">
        <f t="shared" si="67"/>
        <v>0.99729754402993331</v>
      </c>
      <c r="I120">
        <f t="shared" si="67"/>
        <v>0.99382581749714061</v>
      </c>
      <c r="J120">
        <f t="shared" si="67"/>
        <v>0.98876430602536014</v>
      </c>
      <c r="K120">
        <f t="shared" si="67"/>
        <v>0.9822868308341377</v>
      </c>
      <c r="L120">
        <f t="shared" si="67"/>
        <v>0.97464454476914464</v>
      </c>
      <c r="M120">
        <f t="shared" si="67"/>
        <v>0.96609622636916381</v>
      </c>
      <c r="N120">
        <f t="shared" si="68"/>
        <v>0.95687606666388914</v>
      </c>
      <c r="O120">
        <f t="shared" si="68"/>
        <v>0.94718261558507322</v>
      </c>
      <c r="P120">
        <f t="shared" si="68"/>
        <v>0.93717803804904198</v>
      </c>
      <c r="Q120">
        <f t="shared" si="68"/>
        <v>0.92699171332724073</v>
      </c>
      <c r="R120">
        <f t="shared" si="68"/>
        <v>0.91672520464780738</v>
      </c>
      <c r="S120">
        <f t="shared" si="68"/>
        <v>0.90645724003426542</v>
      </c>
      <c r="T120">
        <f t="shared" si="68"/>
        <v>0.89624815836000271</v>
      </c>
      <c r="U120">
        <f t="shared" si="68"/>
        <v>0.88614366193014393</v>
      </c>
      <c r="V120">
        <f t="shared" si="68"/>
        <v>0.87617788868507651</v>
      </c>
      <c r="W120">
        <f t="shared" si="68"/>
        <v>0.86637588373367846</v>
      </c>
    </row>
    <row r="121" spans="1:23" x14ac:dyDescent="0.2">
      <c r="A121" s="1">
        <f t="shared" si="69"/>
        <v>2</v>
      </c>
      <c r="C121">
        <f t="shared" si="64"/>
        <v>0</v>
      </c>
      <c r="D121">
        <f t="shared" si="67"/>
        <v>0.99999999999999478</v>
      </c>
      <c r="E121">
        <f t="shared" si="67"/>
        <v>0.99999996844868178</v>
      </c>
      <c r="F121">
        <f t="shared" si="67"/>
        <v>0.99999374931984208</v>
      </c>
      <c r="G121">
        <f t="shared" si="67"/>
        <v>0.99990870360518491</v>
      </c>
      <c r="H121">
        <f t="shared" si="67"/>
        <v>0.99953413068146801</v>
      </c>
      <c r="I121">
        <f t="shared" si="67"/>
        <v>0.99860063516410813</v>
      </c>
      <c r="J121">
        <f t="shared" si="67"/>
        <v>0.99690185685633648</v>
      </c>
      <c r="K121">
        <f t="shared" si="67"/>
        <v>0.99433940055079695</v>
      </c>
      <c r="L121">
        <f t="shared" si="67"/>
        <v>0.99090868363857609</v>
      </c>
      <c r="M121">
        <f t="shared" si="67"/>
        <v>0.98666705304628877</v>
      </c>
      <c r="N121">
        <f t="shared" si="68"/>
        <v>0.98170496930313478</v>
      </c>
      <c r="O121">
        <f t="shared" si="68"/>
        <v>0.97612570515823827</v>
      </c>
      <c r="P121">
        <f t="shared" si="68"/>
        <v>0.97003285587869603</v>
      </c>
      <c r="Q121">
        <f t="shared" si="68"/>
        <v>0.96352348216326633</v>
      </c>
      <c r="R121">
        <f t="shared" si="68"/>
        <v>0.95668488049806666</v>
      </c>
      <c r="S121">
        <f t="shared" si="68"/>
        <v>0.94959352227468441</v>
      </c>
      <c r="T121">
        <f t="shared" si="68"/>
        <v>0.94231520385606626</v>
      </c>
      <c r="U121">
        <f t="shared" si="68"/>
        <v>0.93490581498175263</v>
      </c>
      <c r="V121">
        <f t="shared" si="68"/>
        <v>0.92741237481055228</v>
      </c>
      <c r="W121">
        <f t="shared" si="68"/>
        <v>0.91987413700107556</v>
      </c>
    </row>
    <row r="122" spans="1:23" x14ac:dyDescent="0.2">
      <c r="A122" s="1">
        <f t="shared" si="69"/>
        <v>2.5</v>
      </c>
      <c r="C122">
        <f t="shared" si="64"/>
        <v>0</v>
      </c>
      <c r="D122">
        <f t="shared" si="67"/>
        <v>1</v>
      </c>
      <c r="E122">
        <f t="shared" si="67"/>
        <v>0.99999999974342479</v>
      </c>
      <c r="F122">
        <f t="shared" si="67"/>
        <v>0.99999975712922318</v>
      </c>
      <c r="G122">
        <f t="shared" si="67"/>
        <v>0.99999223551226479</v>
      </c>
      <c r="H122">
        <f t="shared" si="67"/>
        <v>0.99993655038254159</v>
      </c>
      <c r="I122">
        <f t="shared" si="67"/>
        <v>0.99973896125318729</v>
      </c>
      <c r="J122">
        <f t="shared" si="67"/>
        <v>0.99927613157806972</v>
      </c>
      <c r="K122">
        <f t="shared" si="67"/>
        <v>0.99843353496372989</v>
      </c>
      <c r="L122">
        <f t="shared" si="67"/>
        <v>0.99712933494732003</v>
      </c>
      <c r="M122">
        <f t="shared" si="67"/>
        <v>0.99532019806208083</v>
      </c>
      <c r="N122">
        <f t="shared" si="68"/>
        <v>0.99299648076653158</v>
      </c>
      <c r="O122">
        <f t="shared" si="68"/>
        <v>0.99017366304894316</v>
      </c>
      <c r="P122">
        <f t="shared" si="68"/>
        <v>0.98688382698910126</v>
      </c>
      <c r="Q122">
        <f t="shared" si="68"/>
        <v>0.98316867812240238</v>
      </c>
      <c r="R122">
        <f t="shared" si="68"/>
        <v>0.97907439674053309</v>
      </c>
      <c r="S122">
        <f t="shared" si="68"/>
        <v>0.9746481046224712</v>
      </c>
      <c r="T122">
        <f t="shared" si="68"/>
        <v>0.96993559124001438</v>
      </c>
      <c r="U122">
        <f t="shared" si="68"/>
        <v>0.96497995541795212</v>
      </c>
      <c r="V122">
        <f t="shared" si="68"/>
        <v>0.95982088130574095</v>
      </c>
      <c r="W122">
        <f t="shared" si="68"/>
        <v>0.95449433693950658</v>
      </c>
    </row>
    <row r="123" spans="1:23" x14ac:dyDescent="0.2">
      <c r="A123" s="1">
        <f t="shared" si="69"/>
        <v>3</v>
      </c>
      <c r="C123">
        <f t="shared" si="64"/>
        <v>0</v>
      </c>
      <c r="D123">
        <f t="shared" si="67"/>
        <v>1</v>
      </c>
      <c r="E123">
        <f t="shared" si="67"/>
        <v>0.99999999999886735</v>
      </c>
      <c r="F123">
        <f t="shared" si="67"/>
        <v>0.99999999369676107</v>
      </c>
      <c r="G123">
        <f t="shared" si="67"/>
        <v>0.99999951085929095</v>
      </c>
      <c r="H123">
        <f t="shared" si="67"/>
        <v>0.99999319025597078</v>
      </c>
      <c r="I123">
        <f t="shared" si="67"/>
        <v>0.99996001683199465</v>
      </c>
      <c r="J123">
        <f t="shared" si="67"/>
        <v>0.99985700090989604</v>
      </c>
      <c r="K123">
        <f t="shared" si="67"/>
        <v>0.99962537091736048</v>
      </c>
      <c r="L123">
        <f t="shared" si="67"/>
        <v>0.99920323350649676</v>
      </c>
      <c r="M123">
        <f t="shared" si="67"/>
        <v>0.99853647975929805</v>
      </c>
      <c r="N123">
        <f t="shared" si="68"/>
        <v>0.99758474700347433</v>
      </c>
      <c r="O123">
        <f t="shared" si="68"/>
        <v>0.99632296651907537</v>
      </c>
      <c r="P123">
        <f t="shared" si="68"/>
        <v>0.99474016119220632</v>
      </c>
      <c r="Q123">
        <f t="shared" si="68"/>
        <v>0.9928369711360413</v>
      </c>
      <c r="R123">
        <f t="shared" si="68"/>
        <v>0.99062286696085466</v>
      </c>
      <c r="S123">
        <f t="shared" si="68"/>
        <v>0.98811356033415099</v>
      </c>
      <c r="T123">
        <f t="shared" si="68"/>
        <v>0.9853288253004383</v>
      </c>
      <c r="U123">
        <f t="shared" si="68"/>
        <v>0.98229077728826131</v>
      </c>
      <c r="V123">
        <f t="shared" si="68"/>
        <v>0.97902257564618189</v>
      </c>
      <c r="W123">
        <f t="shared" si="68"/>
        <v>0.97554748388702539</v>
      </c>
    </row>
    <row r="124" spans="1:23" x14ac:dyDescent="0.2">
      <c r="A124" s="1">
        <f t="shared" si="69"/>
        <v>3.5</v>
      </c>
      <c r="C124">
        <f t="shared" si="64"/>
        <v>0</v>
      </c>
      <c r="D124">
        <f t="shared" si="67"/>
        <v>1</v>
      </c>
      <c r="E124">
        <f t="shared" si="67"/>
        <v>0.99999999999999734</v>
      </c>
      <c r="F124">
        <f t="shared" si="67"/>
        <v>0.99999999989098987</v>
      </c>
      <c r="G124">
        <f t="shared" si="67"/>
        <v>0.99999997722379996</v>
      </c>
      <c r="H124">
        <f t="shared" si="67"/>
        <v>0.99999942520850038</v>
      </c>
      <c r="I124">
        <f t="shared" si="67"/>
        <v>0.99999498057812386</v>
      </c>
      <c r="J124">
        <f t="shared" si="67"/>
        <v>0.99997615568431164</v>
      </c>
      <c r="K124">
        <f t="shared" si="67"/>
        <v>0.99992269340947415</v>
      </c>
      <c r="L124">
        <f t="shared" si="67"/>
        <v>0.99980589907713679</v>
      </c>
      <c r="M124">
        <f t="shared" si="67"/>
        <v>0.99959277563235316</v>
      </c>
      <c r="N124">
        <f t="shared" si="68"/>
        <v>0.99925062289763766</v>
      </c>
      <c r="O124">
        <f t="shared" si="68"/>
        <v>0.99875058191488819</v>
      </c>
      <c r="P124">
        <f t="shared" si="68"/>
        <v>0.9980696822914743</v>
      </c>
      <c r="Q124">
        <f t="shared" si="68"/>
        <v>0.99719158113564899</v>
      </c>
      <c r="R124">
        <f t="shared" si="68"/>
        <v>0.99610639244014443</v>
      </c>
      <c r="S124">
        <f t="shared" si="68"/>
        <v>0.9948099904253439</v>
      </c>
      <c r="T124">
        <f t="shared" si="68"/>
        <v>0.99330307563536102</v>
      </c>
      <c r="U124">
        <f t="shared" si="68"/>
        <v>0.99159019194114451</v>
      </c>
      <c r="V124">
        <f t="shared" si="68"/>
        <v>0.98967880259520913</v>
      </c>
      <c r="W124">
        <f t="shared" si="68"/>
        <v>0.98757847822187705</v>
      </c>
    </row>
    <row r="125" spans="1:23" x14ac:dyDescent="0.2">
      <c r="A125" s="1">
        <f t="shared" si="69"/>
        <v>4</v>
      </c>
      <c r="C125">
        <f t="shared" si="64"/>
        <v>0</v>
      </c>
      <c r="D125">
        <f t="shared" si="67"/>
        <v>1</v>
      </c>
      <c r="E125">
        <f t="shared" si="67"/>
        <v>1</v>
      </c>
      <c r="F125">
        <f t="shared" si="67"/>
        <v>0.999999999998746</v>
      </c>
      <c r="G125">
        <f t="shared" si="67"/>
        <v>0.99999999921740645</v>
      </c>
      <c r="H125">
        <f t="shared" si="67"/>
        <v>0.99999996190224616</v>
      </c>
      <c r="I125">
        <f t="shared" si="67"/>
        <v>0.99999948428429419</v>
      </c>
      <c r="J125">
        <f t="shared" si="67"/>
        <v>0.9999966485774533</v>
      </c>
      <c r="K125">
        <f t="shared" si="67"/>
        <v>0.9999862527725053</v>
      </c>
      <c r="L125">
        <f t="shared" si="67"/>
        <v>0.999958547347224</v>
      </c>
      <c r="M125">
        <f t="shared" si="67"/>
        <v>0.99989929744031991</v>
      </c>
      <c r="N125">
        <f t="shared" si="68"/>
        <v>0.99979104018494047</v>
      </c>
      <c r="O125">
        <f t="shared" si="68"/>
        <v>0.99961489587071883</v>
      </c>
      <c r="P125">
        <f t="shared" si="68"/>
        <v>0.99935233120916067</v>
      </c>
      <c r="Q125">
        <f t="shared" si="68"/>
        <v>0.99898653297359619</v>
      </c>
      <c r="R125">
        <f t="shared" si="68"/>
        <v>0.99850328982152847</v>
      </c>
      <c r="S125">
        <f t="shared" si="68"/>
        <v>0.99789142435366429</v>
      </c>
      <c r="T125">
        <f t="shared" si="68"/>
        <v>0.99714287762386955</v>
      </c>
      <c r="U125">
        <f t="shared" si="68"/>
        <v>0.99625255694738291</v>
      </c>
      <c r="V125">
        <f t="shared" si="68"/>
        <v>0.99521804224921151</v>
      </c>
      <c r="W125">
        <f t="shared" si="68"/>
        <v>0.99403922309373749</v>
      </c>
    </row>
    <row r="126" spans="1:23" x14ac:dyDescent="0.2">
      <c r="A126" s="1">
        <f t="shared" si="69"/>
        <v>4.5</v>
      </c>
      <c r="C126">
        <f t="shared" si="64"/>
        <v>0</v>
      </c>
      <c r="D126">
        <f t="shared" si="67"/>
        <v>1</v>
      </c>
      <c r="E126">
        <f t="shared" si="67"/>
        <v>1</v>
      </c>
      <c r="F126">
        <f t="shared" si="67"/>
        <v>0.99999999999999045</v>
      </c>
      <c r="G126">
        <f t="shared" si="67"/>
        <v>0.99999999998018307</v>
      </c>
      <c r="H126">
        <f t="shared" si="67"/>
        <v>0.99999999801952166</v>
      </c>
      <c r="I126">
        <f t="shared" si="67"/>
        <v>0.99999995668383967</v>
      </c>
      <c r="J126">
        <f t="shared" si="67"/>
        <v>0.99999960336016014</v>
      </c>
      <c r="K126">
        <f t="shared" si="67"/>
        <v>0.99999789548537454</v>
      </c>
      <c r="L126">
        <f t="shared" si="67"/>
        <v>0.99999224677941689</v>
      </c>
      <c r="M126">
        <f t="shared" si="67"/>
        <v>0.99997788860720926</v>
      </c>
      <c r="N126">
        <f t="shared" si="68"/>
        <v>0.99994768029618031</v>
      </c>
      <c r="O126">
        <f t="shared" si="68"/>
        <v>0.99989241759139058</v>
      </c>
      <c r="P126">
        <f t="shared" si="68"/>
        <v>0.99980148511736688</v>
      </c>
      <c r="Q126">
        <f t="shared" si="68"/>
        <v>0.99966364147486175</v>
      </c>
      <c r="R126">
        <f t="shared" si="68"/>
        <v>0.99946776608876997</v>
      </c>
      <c r="S126">
        <f t="shared" si="68"/>
        <v>0.99920346818370209</v>
      </c>
      <c r="T126">
        <f t="shared" si="68"/>
        <v>0.99886152095951908</v>
      </c>
      <c r="U126">
        <f t="shared" si="68"/>
        <v>0.99843412545349508</v>
      </c>
      <c r="V126">
        <f t="shared" si="68"/>
        <v>0.99791503005711912</v>
      </c>
      <c r="W126">
        <f t="shared" si="68"/>
        <v>0.99729953910961933</v>
      </c>
    </row>
    <row r="127" spans="1:23" x14ac:dyDescent="0.2">
      <c r="A127" s="1">
        <f t="shared" si="69"/>
        <v>5</v>
      </c>
      <c r="C127">
        <f t="shared" si="64"/>
        <v>0</v>
      </c>
      <c r="D127">
        <f t="shared" si="67"/>
        <v>1</v>
      </c>
      <c r="E127">
        <f t="shared" si="67"/>
        <v>1</v>
      </c>
      <c r="F127">
        <f t="shared" si="67"/>
        <v>1</v>
      </c>
      <c r="G127">
        <f t="shared" si="67"/>
        <v>0.99999999999963052</v>
      </c>
      <c r="H127">
        <f t="shared" si="67"/>
        <v>0.99999999991933231</v>
      </c>
      <c r="I127">
        <f t="shared" si="67"/>
        <v>0.99999999702852993</v>
      </c>
      <c r="J127">
        <f t="shared" si="67"/>
        <v>0.99999996050840434</v>
      </c>
      <c r="K127">
        <f t="shared" si="67"/>
        <v>0.99999972288302041</v>
      </c>
      <c r="L127">
        <f t="shared" si="67"/>
        <v>0.99999873097728331</v>
      </c>
      <c r="M127">
        <f t="shared" si="67"/>
        <v>0.99999569247516995</v>
      </c>
      <c r="N127">
        <f t="shared" si="68"/>
        <v>0.99998824591257496</v>
      </c>
      <c r="O127">
        <f t="shared" si="68"/>
        <v>0.99997277983583599</v>
      </c>
      <c r="P127">
        <f t="shared" si="68"/>
        <v>0.99994445377345509</v>
      </c>
      <c r="Q127">
        <f t="shared" si="68"/>
        <v>0.99989739778305198</v>
      </c>
      <c r="R127">
        <f t="shared" si="68"/>
        <v>0.999825026091267</v>
      </c>
      <c r="S127">
        <f t="shared" si="68"/>
        <v>0.99972039421201531</v>
      </c>
      <c r="T127">
        <f t="shared" si="68"/>
        <v>0.99957654320824685</v>
      </c>
      <c r="U127">
        <f t="shared" si="68"/>
        <v>0.99938679545380893</v>
      </c>
      <c r="V127">
        <f t="shared" si="68"/>
        <v>0.99914498509066485</v>
      </c>
      <c r="W127">
        <f t="shared" si="68"/>
        <v>0.99884562016373957</v>
      </c>
    </row>
    <row r="129" spans="1:23" x14ac:dyDescent="0.2">
      <c r="A129" t="s">
        <v>27</v>
      </c>
      <c r="J129">
        <f>ERFC(0.013)-1</f>
        <v>-1.4668102864459187E-2</v>
      </c>
    </row>
    <row r="130" spans="1:23" x14ac:dyDescent="0.2">
      <c r="A130" t="s">
        <v>21</v>
      </c>
      <c r="B130" t="s">
        <v>22</v>
      </c>
      <c r="C130" s="2">
        <v>1E-3</v>
      </c>
      <c r="D130">
        <f>+C130+dx</f>
        <v>1.0009999999999999</v>
      </c>
      <c r="E130">
        <f t="shared" ref="E130:W130" si="70">+D130+dx</f>
        <v>2.0009999999999999</v>
      </c>
      <c r="F130">
        <f t="shared" si="70"/>
        <v>3.0009999999999999</v>
      </c>
      <c r="G130">
        <f t="shared" si="70"/>
        <v>4.0009999999999994</v>
      </c>
      <c r="H130">
        <f t="shared" si="70"/>
        <v>5.0009999999999994</v>
      </c>
      <c r="I130">
        <f t="shared" si="70"/>
        <v>6.0009999999999994</v>
      </c>
      <c r="J130">
        <f t="shared" si="70"/>
        <v>7.0009999999999994</v>
      </c>
      <c r="K130">
        <f t="shared" si="70"/>
        <v>8.0009999999999994</v>
      </c>
      <c r="L130">
        <f t="shared" si="70"/>
        <v>9.0009999999999994</v>
      </c>
      <c r="M130">
        <f t="shared" si="70"/>
        <v>10.000999999999999</v>
      </c>
      <c r="N130">
        <f t="shared" si="70"/>
        <v>11.000999999999999</v>
      </c>
      <c r="O130">
        <f t="shared" si="70"/>
        <v>12.000999999999999</v>
      </c>
      <c r="P130">
        <f t="shared" si="70"/>
        <v>13.000999999999999</v>
      </c>
      <c r="Q130">
        <f t="shared" si="70"/>
        <v>14.000999999999999</v>
      </c>
      <c r="R130">
        <f t="shared" si="70"/>
        <v>15.000999999999999</v>
      </c>
      <c r="S130">
        <f t="shared" si="70"/>
        <v>16.000999999999998</v>
      </c>
      <c r="T130">
        <f t="shared" si="70"/>
        <v>17.000999999999998</v>
      </c>
      <c r="U130">
        <f t="shared" si="70"/>
        <v>18.000999999999998</v>
      </c>
      <c r="V130">
        <f t="shared" si="70"/>
        <v>19.000999999999998</v>
      </c>
      <c r="W130">
        <f t="shared" si="70"/>
        <v>20.000999999999998</v>
      </c>
    </row>
    <row r="131" spans="1:23" x14ac:dyDescent="0.2">
      <c r="A131" s="1">
        <f t="shared" ref="A131:A139" si="71">+A132+dy</f>
        <v>5</v>
      </c>
      <c r="D131">
        <f t="shared" ref="D131:M140" si="72">IF((($A131-Y/2)/(2*(ay*D$130)^0.5))&gt;27,1,IF((($A131-Y/2)/(2*(ay*D$130)^0.5))&gt;0,ERF(($A131-Y/2)/(2*(ay*D$130)^0.5)),IF((($A131-Y/2)/(2*(ay*D$130)^0.5))&lt;-27,-1,-ERF(ABS(($A131-Y/2)/(2*(ay*D$130)^0.5))))))</f>
        <v>0.99999999999999478</v>
      </c>
      <c r="E131">
        <f t="shared" si="72"/>
        <v>0.99999996844868178</v>
      </c>
      <c r="F131">
        <f t="shared" si="72"/>
        <v>0.99999374931984208</v>
      </c>
      <c r="G131">
        <f t="shared" si="72"/>
        <v>0.99990870360518491</v>
      </c>
      <c r="H131">
        <f t="shared" si="72"/>
        <v>0.99953413068146801</v>
      </c>
      <c r="I131">
        <f t="shared" si="72"/>
        <v>0.99860063516410813</v>
      </c>
      <c r="J131">
        <f t="shared" si="72"/>
        <v>0.99690185685633648</v>
      </c>
      <c r="K131">
        <f t="shared" si="72"/>
        <v>0.99433940055079695</v>
      </c>
      <c r="L131">
        <f t="shared" si="72"/>
        <v>0.99090868363857609</v>
      </c>
      <c r="M131">
        <f t="shared" si="72"/>
        <v>0.98666705304628877</v>
      </c>
      <c r="N131">
        <f t="shared" ref="N131:W140" si="73">IF((($A131-Y/2)/(2*(ay*N$130)^0.5))&gt;27,1,IF((($A131-Y/2)/(2*(ay*N$130)^0.5))&gt;0,ERF(($A131-Y/2)/(2*(ay*N$130)^0.5)),IF((($A131-Y/2)/(2*(ay*N$130)^0.5))&lt;-27,-1,-ERF(ABS(($A131-Y/2)/(2*(ay*N$130)^0.5))))))</f>
        <v>0.98170496930313478</v>
      </c>
      <c r="O131">
        <f t="shared" si="73"/>
        <v>0.97612570515823827</v>
      </c>
      <c r="P131">
        <f t="shared" si="73"/>
        <v>0.97003285587869603</v>
      </c>
      <c r="Q131">
        <f t="shared" si="73"/>
        <v>0.96352348216326633</v>
      </c>
      <c r="R131">
        <f t="shared" si="73"/>
        <v>0.95668488049806666</v>
      </c>
      <c r="S131">
        <f t="shared" si="73"/>
        <v>0.94959352227468441</v>
      </c>
      <c r="T131">
        <f t="shared" si="73"/>
        <v>0.94231520385606626</v>
      </c>
      <c r="U131">
        <f t="shared" si="73"/>
        <v>0.93490581498175263</v>
      </c>
      <c r="V131">
        <f t="shared" si="73"/>
        <v>0.92741237481055228</v>
      </c>
      <c r="W131">
        <f t="shared" si="73"/>
        <v>0.91987413700107556</v>
      </c>
    </row>
    <row r="132" spans="1:23" x14ac:dyDescent="0.2">
      <c r="A132" s="1">
        <f t="shared" si="71"/>
        <v>4.5</v>
      </c>
      <c r="D132">
        <f t="shared" si="72"/>
        <v>0.99999999997983902</v>
      </c>
      <c r="E132">
        <f t="shared" si="72"/>
        <v>0.99999788622683139</v>
      </c>
      <c r="F132">
        <f t="shared" si="72"/>
        <v>0.99989220368199716</v>
      </c>
      <c r="G132">
        <f t="shared" si="72"/>
        <v>0.99920256274092689</v>
      </c>
      <c r="H132">
        <f t="shared" si="72"/>
        <v>0.99729754402993331</v>
      </c>
      <c r="I132">
        <f t="shared" si="72"/>
        <v>0.99382581749714061</v>
      </c>
      <c r="J132">
        <f t="shared" si="72"/>
        <v>0.98876430602536014</v>
      </c>
      <c r="K132">
        <f t="shared" si="72"/>
        <v>0.9822868308341377</v>
      </c>
      <c r="L132">
        <f t="shared" si="72"/>
        <v>0.97464454476914464</v>
      </c>
      <c r="M132">
        <f t="shared" si="72"/>
        <v>0.96609622636916381</v>
      </c>
      <c r="N132">
        <f t="shared" si="73"/>
        <v>0.95687606666388914</v>
      </c>
      <c r="O132">
        <f t="shared" si="73"/>
        <v>0.94718261558507322</v>
      </c>
      <c r="P132">
        <f t="shared" si="73"/>
        <v>0.93717803804904198</v>
      </c>
      <c r="Q132">
        <f t="shared" si="73"/>
        <v>0.92699171332724073</v>
      </c>
      <c r="R132">
        <f t="shared" si="73"/>
        <v>0.91672520464780738</v>
      </c>
      <c r="S132">
        <f t="shared" si="73"/>
        <v>0.90645724003426542</v>
      </c>
      <c r="T132">
        <f t="shared" si="73"/>
        <v>0.89624815836000271</v>
      </c>
      <c r="U132">
        <f t="shared" si="73"/>
        <v>0.88614366193014393</v>
      </c>
      <c r="V132">
        <f t="shared" si="73"/>
        <v>0.87617788868507651</v>
      </c>
      <c r="W132">
        <f t="shared" si="73"/>
        <v>0.86637588373367846</v>
      </c>
    </row>
    <row r="133" spans="1:23" x14ac:dyDescent="0.2">
      <c r="A133" s="1">
        <f t="shared" si="71"/>
        <v>4</v>
      </c>
      <c r="D133">
        <f t="shared" si="72"/>
        <v>0.99999997694750165</v>
      </c>
      <c r="E133">
        <f t="shared" si="72"/>
        <v>0.99992245364646182</v>
      </c>
      <c r="F133">
        <f t="shared" si="72"/>
        <v>0.99874881953521366</v>
      </c>
      <c r="G133">
        <f t="shared" si="72"/>
        <v>0.99480578309334011</v>
      </c>
      <c r="H133">
        <f t="shared" si="72"/>
        <v>0.98757190377414983</v>
      </c>
      <c r="I133">
        <f t="shared" si="72"/>
        <v>0.9775099019804091</v>
      </c>
      <c r="J133">
        <f t="shared" si="72"/>
        <v>0.96537652126793261</v>
      </c>
      <c r="K133">
        <f t="shared" si="72"/>
        <v>0.95187919295446699</v>
      </c>
      <c r="L133">
        <f t="shared" si="72"/>
        <v>0.93757802705725035</v>
      </c>
      <c r="M133">
        <f t="shared" si="72"/>
        <v>0.92288534564014968</v>
      </c>
      <c r="N133">
        <f t="shared" si="73"/>
        <v>0.90809301997559888</v>
      </c>
      <c r="O133">
        <f t="shared" si="73"/>
        <v>0.89340223986316003</v>
      </c>
      <c r="P133">
        <f t="shared" si="73"/>
        <v>0.87894835753843359</v>
      </c>
      <c r="Q133">
        <f t="shared" si="73"/>
        <v>0.86481978210600463</v>
      </c>
      <c r="R133">
        <f t="shared" si="73"/>
        <v>0.8510717811207793</v>
      </c>
      <c r="S133">
        <f t="shared" si="73"/>
        <v>0.83773637717800475</v>
      </c>
      <c r="T133">
        <f t="shared" si="73"/>
        <v>0.8248293867988703</v>
      </c>
      <c r="U133">
        <f t="shared" si="73"/>
        <v>0.81235541179792525</v>
      </c>
      <c r="V133">
        <f t="shared" si="73"/>
        <v>0.80031137680135167</v>
      </c>
      <c r="W133">
        <f t="shared" si="73"/>
        <v>0.78868903730357409</v>
      </c>
    </row>
    <row r="134" spans="1:23" x14ac:dyDescent="0.2">
      <c r="A134" s="1">
        <f t="shared" si="71"/>
        <v>3.5</v>
      </c>
      <c r="D134">
        <f t="shared" si="72"/>
        <v>0.99999217443948685</v>
      </c>
      <c r="E134">
        <f t="shared" si="72"/>
        <v>0.9984303438391221</v>
      </c>
      <c r="F134">
        <f t="shared" si="72"/>
        <v>0.99016447291168919</v>
      </c>
      <c r="G134">
        <f t="shared" si="72"/>
        <v>0.97463437280652754</v>
      </c>
      <c r="H134">
        <f t="shared" si="72"/>
        <v>0.95447813863754083</v>
      </c>
      <c r="I134">
        <f t="shared" si="72"/>
        <v>0.9320879164039727</v>
      </c>
      <c r="J134">
        <f t="shared" si="72"/>
        <v>0.90900796568410835</v>
      </c>
      <c r="K134">
        <f t="shared" si="72"/>
        <v>0.88613111204728701</v>
      </c>
      <c r="L134">
        <f t="shared" si="72"/>
        <v>0.86394111972071974</v>
      </c>
      <c r="M134">
        <f t="shared" si="72"/>
        <v>0.84268003809373693</v>
      </c>
      <c r="N134">
        <f t="shared" si="73"/>
        <v>0.82245044554743751</v>
      </c>
      <c r="O134">
        <f t="shared" si="73"/>
        <v>0.80327574538404456</v>
      </c>
      <c r="P134">
        <f t="shared" si="73"/>
        <v>0.78513541557666766</v>
      </c>
      <c r="Q134">
        <f t="shared" si="73"/>
        <v>0.76798560349684253</v>
      </c>
      <c r="R134">
        <f t="shared" si="73"/>
        <v>0.75177115410486028</v>
      </c>
      <c r="S134">
        <f t="shared" si="73"/>
        <v>0.7364326016746654</v>
      </c>
      <c r="T134">
        <f t="shared" si="73"/>
        <v>0.72191017913157296</v>
      </c>
      <c r="U134">
        <f t="shared" si="73"/>
        <v>0.70814605098641703</v>
      </c>
      <c r="V134">
        <f t="shared" si="73"/>
        <v>0.6950854853648929</v>
      </c>
      <c r="W134">
        <f t="shared" si="73"/>
        <v>0.68267739390331572</v>
      </c>
    </row>
    <row r="135" spans="1:23" x14ac:dyDescent="0.2">
      <c r="A135" s="1">
        <f t="shared" si="71"/>
        <v>3</v>
      </c>
      <c r="D135">
        <f t="shared" si="72"/>
        <v>0.99919893396591453</v>
      </c>
      <c r="E135">
        <f t="shared" si="72"/>
        <v>0.98226551376952165</v>
      </c>
      <c r="F135">
        <f t="shared" si="72"/>
        <v>0.94715299473892134</v>
      </c>
      <c r="G135">
        <f t="shared" si="72"/>
        <v>0.9064264985651197</v>
      </c>
      <c r="H135">
        <f t="shared" si="72"/>
        <v>0.86634674364081476</v>
      </c>
      <c r="I135">
        <f t="shared" si="72"/>
        <v>0.82906082743109077</v>
      </c>
      <c r="J135">
        <f t="shared" si="72"/>
        <v>0.79507375940577485</v>
      </c>
      <c r="K135">
        <f t="shared" si="72"/>
        <v>0.76429081362646167</v>
      </c>
      <c r="L135">
        <f t="shared" si="72"/>
        <v>0.73642099698361685</v>
      </c>
      <c r="M135">
        <f t="shared" si="72"/>
        <v>0.71113152486852227</v>
      </c>
      <c r="N135">
        <f t="shared" si="73"/>
        <v>0.68810504166180109</v>
      </c>
      <c r="O135">
        <f t="shared" si="73"/>
        <v>0.66705824911503264</v>
      </c>
      <c r="P135">
        <f t="shared" si="73"/>
        <v>0.64774526095649354</v>
      </c>
      <c r="Q135">
        <f t="shared" si="73"/>
        <v>0.62995519669047029</v>
      </c>
      <c r="R135">
        <f t="shared" si="73"/>
        <v>0.61350793952739202</v>
      </c>
      <c r="S135">
        <f t="shared" si="73"/>
        <v>0.59824965306516209</v>
      </c>
      <c r="T135">
        <f t="shared" si="73"/>
        <v>0.58404866186715609</v>
      </c>
      <c r="U135">
        <f t="shared" si="73"/>
        <v>0.57079188079369214</v>
      </c>
      <c r="V135">
        <f t="shared" si="73"/>
        <v>0.55838180448813057</v>
      </c>
      <c r="W135">
        <f t="shared" si="73"/>
        <v>0.54673400293661945</v>
      </c>
    </row>
    <row r="136" spans="1:23" x14ac:dyDescent="0.2">
      <c r="A136" s="1">
        <f t="shared" si="71"/>
        <v>2.5</v>
      </c>
      <c r="D136">
        <f t="shared" si="72"/>
        <v>0.97457941982776841</v>
      </c>
      <c r="E136">
        <f t="shared" si="72"/>
        <v>0.88606334644810991</v>
      </c>
      <c r="F136">
        <f t="shared" si="72"/>
        <v>0.80321979513021713</v>
      </c>
      <c r="G136">
        <f t="shared" si="72"/>
        <v>0.73638784344308883</v>
      </c>
      <c r="H136">
        <f t="shared" si="72"/>
        <v>0.68264110283111257</v>
      </c>
      <c r="I136">
        <f t="shared" si="72"/>
        <v>0.6386495610683065</v>
      </c>
      <c r="J136">
        <f t="shared" si="72"/>
        <v>0.6019415822401919</v>
      </c>
      <c r="K136">
        <f t="shared" si="72"/>
        <v>0.57077585852538659</v>
      </c>
      <c r="L136">
        <f t="shared" si="72"/>
        <v>0.54391843530442974</v>
      </c>
      <c r="M136">
        <f t="shared" si="72"/>
        <v>0.52047790962157714</v>
      </c>
      <c r="N136">
        <f t="shared" si="73"/>
        <v>0.49979626343727501</v>
      </c>
      <c r="O136">
        <f t="shared" si="73"/>
        <v>0.48137756061650749</v>
      </c>
      <c r="P136">
        <f t="shared" si="73"/>
        <v>0.46484084614260285</v>
      </c>
      <c r="Q136">
        <f t="shared" si="73"/>
        <v>0.44988843883624985</v>
      </c>
      <c r="R136">
        <f t="shared" si="73"/>
        <v>0.43628414094983836</v>
      </c>
      <c r="S136">
        <f t="shared" si="73"/>
        <v>0.42383795626514609</v>
      </c>
      <c r="T136">
        <f t="shared" si="73"/>
        <v>0.41239516609558052</v>
      </c>
      <c r="U136">
        <f t="shared" si="73"/>
        <v>0.40182838129055404</v>
      </c>
      <c r="V136">
        <f t="shared" si="73"/>
        <v>0.39203166493312913</v>
      </c>
      <c r="W136">
        <f t="shared" si="73"/>
        <v>0.38291612121740171</v>
      </c>
    </row>
    <row r="137" spans="1:23" x14ac:dyDescent="0.2">
      <c r="A137" s="1">
        <f t="shared" si="71"/>
        <v>2</v>
      </c>
      <c r="D137">
        <f t="shared" si="72"/>
        <v>0.73620888392100647</v>
      </c>
      <c r="E137">
        <f t="shared" si="72"/>
        <v>0.57068936110075086</v>
      </c>
      <c r="F137">
        <f t="shared" si="72"/>
        <v>0.4813253030018082</v>
      </c>
      <c r="G137">
        <f t="shared" si="72"/>
        <v>0.42380219715860074</v>
      </c>
      <c r="H137">
        <f t="shared" si="72"/>
        <v>0.38288972085551104</v>
      </c>
      <c r="I137">
        <f t="shared" si="72"/>
        <v>0.3518957887026713</v>
      </c>
      <c r="J137">
        <f t="shared" si="72"/>
        <v>0.32737415846914047</v>
      </c>
      <c r="K137">
        <f t="shared" si="72"/>
        <v>0.30734898698330532</v>
      </c>
      <c r="L137">
        <f t="shared" si="72"/>
        <v>0.29059647481487277</v>
      </c>
      <c r="M137">
        <f t="shared" si="72"/>
        <v>0.27631314094390019</v>
      </c>
      <c r="N137">
        <f t="shared" si="73"/>
        <v>0.26394688100653374</v>
      </c>
      <c r="O137">
        <f t="shared" si="73"/>
        <v>0.25310418192703543</v>
      </c>
      <c r="P137">
        <f t="shared" si="73"/>
        <v>0.24349600906098526</v>
      </c>
      <c r="Q137">
        <f t="shared" si="73"/>
        <v>0.23490466405664204</v>
      </c>
      <c r="R137">
        <f t="shared" si="73"/>
        <v>0.22716264335472833</v>
      </c>
      <c r="S137">
        <f t="shared" si="73"/>
        <v>0.22013868009341664</v>
      </c>
      <c r="T137">
        <f t="shared" si="73"/>
        <v>0.21372825319651068</v>
      </c>
      <c r="U137">
        <f t="shared" si="73"/>
        <v>0.20784696716683554</v>
      </c>
      <c r="V137">
        <f t="shared" si="73"/>
        <v>0.20242583003252465</v>
      </c>
      <c r="W137">
        <f t="shared" si="73"/>
        <v>0.19740781819185482</v>
      </c>
    </row>
    <row r="138" spans="1:23" x14ac:dyDescent="0.2">
      <c r="A138" s="1">
        <f t="shared" si="71"/>
        <v>1.5</v>
      </c>
      <c r="D138">
        <f t="shared" si="72"/>
        <v>0</v>
      </c>
      <c r="E138">
        <f t="shared" si="72"/>
        <v>0</v>
      </c>
      <c r="F138">
        <f t="shared" si="72"/>
        <v>0</v>
      </c>
      <c r="G138">
        <f t="shared" si="72"/>
        <v>0</v>
      </c>
      <c r="H138">
        <f t="shared" si="72"/>
        <v>0</v>
      </c>
      <c r="I138">
        <f t="shared" si="72"/>
        <v>0</v>
      </c>
      <c r="J138">
        <f t="shared" si="72"/>
        <v>0</v>
      </c>
      <c r="K138">
        <f t="shared" si="72"/>
        <v>0</v>
      </c>
      <c r="L138">
        <f t="shared" si="72"/>
        <v>0</v>
      </c>
      <c r="M138">
        <f t="shared" si="72"/>
        <v>0</v>
      </c>
      <c r="N138">
        <f t="shared" si="73"/>
        <v>0</v>
      </c>
      <c r="O138">
        <f t="shared" si="73"/>
        <v>0</v>
      </c>
      <c r="P138">
        <f t="shared" si="73"/>
        <v>0</v>
      </c>
      <c r="Q138">
        <f t="shared" si="73"/>
        <v>0</v>
      </c>
      <c r="R138">
        <f t="shared" si="73"/>
        <v>0</v>
      </c>
      <c r="S138">
        <f t="shared" si="73"/>
        <v>0</v>
      </c>
      <c r="T138">
        <f t="shared" si="73"/>
        <v>0</v>
      </c>
      <c r="U138">
        <f t="shared" si="73"/>
        <v>0</v>
      </c>
      <c r="V138">
        <f t="shared" si="73"/>
        <v>0</v>
      </c>
      <c r="W138">
        <f t="shared" si="73"/>
        <v>0</v>
      </c>
    </row>
    <row r="139" spans="1:23" x14ac:dyDescent="0.2">
      <c r="A139" s="1">
        <f t="shared" si="71"/>
        <v>1</v>
      </c>
      <c r="D139">
        <f t="shared" si="72"/>
        <v>-0.73620888392100647</v>
      </c>
      <c r="E139">
        <f t="shared" si="72"/>
        <v>-0.57068936110075086</v>
      </c>
      <c r="F139">
        <f t="shared" si="72"/>
        <v>-0.4813253030018082</v>
      </c>
      <c r="G139">
        <f t="shared" si="72"/>
        <v>-0.42380219715860074</v>
      </c>
      <c r="H139">
        <f t="shared" si="72"/>
        <v>-0.38288972085551104</v>
      </c>
      <c r="I139">
        <f t="shared" si="72"/>
        <v>-0.3518957887026713</v>
      </c>
      <c r="J139">
        <f t="shared" si="72"/>
        <v>-0.32737415846914047</v>
      </c>
      <c r="K139">
        <f t="shared" si="72"/>
        <v>-0.30734898698330532</v>
      </c>
      <c r="L139">
        <f t="shared" si="72"/>
        <v>-0.29059647481487277</v>
      </c>
      <c r="M139">
        <f t="shared" si="72"/>
        <v>-0.27631314094390019</v>
      </c>
      <c r="N139">
        <f t="shared" si="73"/>
        <v>-0.26394688100653374</v>
      </c>
      <c r="O139">
        <f t="shared" si="73"/>
        <v>-0.25310418192703543</v>
      </c>
      <c r="P139">
        <f t="shared" si="73"/>
        <v>-0.24349600906098526</v>
      </c>
      <c r="Q139">
        <f t="shared" si="73"/>
        <v>-0.23490466405664204</v>
      </c>
      <c r="R139">
        <f t="shared" si="73"/>
        <v>-0.22716264335472833</v>
      </c>
      <c r="S139">
        <f t="shared" si="73"/>
        <v>-0.22013868009341664</v>
      </c>
      <c r="T139">
        <f t="shared" si="73"/>
        <v>-0.21372825319651068</v>
      </c>
      <c r="U139">
        <f t="shared" si="73"/>
        <v>-0.20784696716683554</v>
      </c>
      <c r="V139">
        <f t="shared" si="73"/>
        <v>-0.20242583003252465</v>
      </c>
      <c r="W139">
        <f t="shared" si="73"/>
        <v>-0.19740781819185482</v>
      </c>
    </row>
    <row r="140" spans="1:23" x14ac:dyDescent="0.2">
      <c r="A140" s="1">
        <f>+A141+dy</f>
        <v>0.5</v>
      </c>
      <c r="D140">
        <f t="shared" si="72"/>
        <v>-0.97457941982776841</v>
      </c>
      <c r="E140">
        <f t="shared" si="72"/>
        <v>-0.88606334644810991</v>
      </c>
      <c r="F140">
        <f t="shared" si="72"/>
        <v>-0.80321979513021713</v>
      </c>
      <c r="G140">
        <f t="shared" si="72"/>
        <v>-0.73638784344308883</v>
      </c>
      <c r="H140">
        <f t="shared" si="72"/>
        <v>-0.68264110283111257</v>
      </c>
      <c r="I140">
        <f t="shared" si="72"/>
        <v>-0.6386495610683065</v>
      </c>
      <c r="J140">
        <f t="shared" si="72"/>
        <v>-0.6019415822401919</v>
      </c>
      <c r="K140">
        <f t="shared" si="72"/>
        <v>-0.57077585852538659</v>
      </c>
      <c r="L140">
        <f t="shared" si="72"/>
        <v>-0.54391843530442974</v>
      </c>
      <c r="M140">
        <f t="shared" si="72"/>
        <v>-0.52047790962157714</v>
      </c>
      <c r="N140">
        <f t="shared" si="73"/>
        <v>-0.49979626343727501</v>
      </c>
      <c r="O140">
        <f t="shared" si="73"/>
        <v>-0.48137756061650749</v>
      </c>
      <c r="P140">
        <f t="shared" si="73"/>
        <v>-0.46484084614260285</v>
      </c>
      <c r="Q140">
        <f t="shared" si="73"/>
        <v>-0.44988843883624985</v>
      </c>
      <c r="R140">
        <f t="shared" si="73"/>
        <v>-0.43628414094983836</v>
      </c>
      <c r="S140">
        <f t="shared" si="73"/>
        <v>-0.42383795626514609</v>
      </c>
      <c r="T140">
        <f t="shared" si="73"/>
        <v>-0.41239516609558052</v>
      </c>
      <c r="U140">
        <f t="shared" si="73"/>
        <v>-0.40182838129055404</v>
      </c>
      <c r="V140">
        <f t="shared" si="73"/>
        <v>-0.39203166493312913</v>
      </c>
      <c r="W140">
        <f t="shared" si="73"/>
        <v>-0.38291612121740171</v>
      </c>
    </row>
    <row r="141" spans="1:23" x14ac:dyDescent="0.2">
      <c r="A141" s="1">
        <v>0</v>
      </c>
      <c r="D141">
        <f t="shared" ref="D141:M151" si="74">IF((($A141-Y/2)/(2*(ay*D$130)^0.5))&gt;27,1,IF((($A141-Y/2)/(2*(ay*D$130)^0.5))&gt;0,ERF(($A141-Y/2)/(2*(ay*D$130)^0.5)),IF((($A141-Y/2)/(2*(ay*D$130)^0.5))&lt;-27,-1,-ERF(ABS(($A141-Y/2)/(2*(ay*D$130)^0.5))))))</f>
        <v>-0.99919893396591453</v>
      </c>
      <c r="E141">
        <f t="shared" si="74"/>
        <v>-0.98226551376952165</v>
      </c>
      <c r="F141">
        <f t="shared" si="74"/>
        <v>-0.94715299473892134</v>
      </c>
      <c r="G141">
        <f t="shared" si="74"/>
        <v>-0.9064264985651197</v>
      </c>
      <c r="H141">
        <f t="shared" si="74"/>
        <v>-0.86634674364081476</v>
      </c>
      <c r="I141">
        <f t="shared" si="74"/>
        <v>-0.82906082743109077</v>
      </c>
      <c r="J141">
        <f t="shared" si="74"/>
        <v>-0.79507375940577485</v>
      </c>
      <c r="K141">
        <f t="shared" si="74"/>
        <v>-0.76429081362646167</v>
      </c>
      <c r="L141">
        <f t="shared" si="74"/>
        <v>-0.73642099698361685</v>
      </c>
      <c r="M141">
        <f t="shared" si="74"/>
        <v>-0.71113152486852227</v>
      </c>
      <c r="N141">
        <f t="shared" ref="N141:W151" si="75">IF((($A141-Y/2)/(2*(ay*N$130)^0.5))&gt;27,1,IF((($A141-Y/2)/(2*(ay*N$130)^0.5))&gt;0,ERF(($A141-Y/2)/(2*(ay*N$130)^0.5)),IF((($A141-Y/2)/(2*(ay*N$130)^0.5))&lt;-27,-1,-ERF(ABS(($A141-Y/2)/(2*(ay*N$130)^0.5))))))</f>
        <v>-0.68810504166180109</v>
      </c>
      <c r="O141">
        <f t="shared" si="75"/>
        <v>-0.66705824911503264</v>
      </c>
      <c r="P141">
        <f t="shared" si="75"/>
        <v>-0.64774526095649354</v>
      </c>
      <c r="Q141">
        <f t="shared" si="75"/>
        <v>-0.62995519669047029</v>
      </c>
      <c r="R141">
        <f t="shared" si="75"/>
        <v>-0.61350793952739202</v>
      </c>
      <c r="S141">
        <f t="shared" si="75"/>
        <v>-0.59824965306516209</v>
      </c>
      <c r="T141">
        <f t="shared" si="75"/>
        <v>-0.58404866186715609</v>
      </c>
      <c r="U141">
        <f t="shared" si="75"/>
        <v>-0.57079188079369214</v>
      </c>
      <c r="V141">
        <f t="shared" si="75"/>
        <v>-0.55838180448813057</v>
      </c>
      <c r="W141">
        <f t="shared" si="75"/>
        <v>-0.54673400293661945</v>
      </c>
    </row>
    <row r="142" spans="1:23" x14ac:dyDescent="0.2">
      <c r="A142" s="1">
        <f>+A141+dy</f>
        <v>0.5</v>
      </c>
      <c r="D142">
        <f t="shared" si="74"/>
        <v>-0.97457941982776841</v>
      </c>
      <c r="E142">
        <f t="shared" si="74"/>
        <v>-0.88606334644810991</v>
      </c>
      <c r="F142">
        <f t="shared" si="74"/>
        <v>-0.80321979513021713</v>
      </c>
      <c r="G142">
        <f t="shared" si="74"/>
        <v>-0.73638784344308883</v>
      </c>
      <c r="H142">
        <f t="shared" si="74"/>
        <v>-0.68264110283111257</v>
      </c>
      <c r="I142">
        <f t="shared" si="74"/>
        <v>-0.6386495610683065</v>
      </c>
      <c r="J142">
        <f t="shared" si="74"/>
        <v>-0.6019415822401919</v>
      </c>
      <c r="K142">
        <f t="shared" si="74"/>
        <v>-0.57077585852538659</v>
      </c>
      <c r="L142">
        <f t="shared" si="74"/>
        <v>-0.54391843530442974</v>
      </c>
      <c r="M142">
        <f t="shared" si="74"/>
        <v>-0.52047790962157714</v>
      </c>
      <c r="N142">
        <f t="shared" si="75"/>
        <v>-0.49979626343727501</v>
      </c>
      <c r="O142">
        <f t="shared" si="75"/>
        <v>-0.48137756061650749</v>
      </c>
      <c r="P142">
        <f t="shared" si="75"/>
        <v>-0.46484084614260285</v>
      </c>
      <c r="Q142">
        <f t="shared" si="75"/>
        <v>-0.44988843883624985</v>
      </c>
      <c r="R142">
        <f t="shared" si="75"/>
        <v>-0.43628414094983836</v>
      </c>
      <c r="S142">
        <f t="shared" si="75"/>
        <v>-0.42383795626514609</v>
      </c>
      <c r="T142">
        <f t="shared" si="75"/>
        <v>-0.41239516609558052</v>
      </c>
      <c r="U142">
        <f t="shared" si="75"/>
        <v>-0.40182838129055404</v>
      </c>
      <c r="V142">
        <f t="shared" si="75"/>
        <v>-0.39203166493312913</v>
      </c>
      <c r="W142">
        <f t="shared" si="75"/>
        <v>-0.38291612121740171</v>
      </c>
    </row>
    <row r="143" spans="1:23" x14ac:dyDescent="0.2">
      <c r="A143" s="1">
        <f t="shared" ref="A143:A151" si="76">+A142+dy</f>
        <v>1</v>
      </c>
      <c r="D143">
        <f t="shared" si="74"/>
        <v>-0.73620888392100647</v>
      </c>
      <c r="E143">
        <f t="shared" si="74"/>
        <v>-0.57068936110075086</v>
      </c>
      <c r="F143">
        <f t="shared" si="74"/>
        <v>-0.4813253030018082</v>
      </c>
      <c r="G143">
        <f t="shared" si="74"/>
        <v>-0.42380219715860074</v>
      </c>
      <c r="H143">
        <f t="shared" si="74"/>
        <v>-0.38288972085551104</v>
      </c>
      <c r="I143">
        <f t="shared" si="74"/>
        <v>-0.3518957887026713</v>
      </c>
      <c r="J143">
        <f t="shared" si="74"/>
        <v>-0.32737415846914047</v>
      </c>
      <c r="K143">
        <f t="shared" si="74"/>
        <v>-0.30734898698330532</v>
      </c>
      <c r="L143">
        <f t="shared" si="74"/>
        <v>-0.29059647481487277</v>
      </c>
      <c r="M143">
        <f t="shared" si="74"/>
        <v>-0.27631314094390019</v>
      </c>
      <c r="N143">
        <f t="shared" si="75"/>
        <v>-0.26394688100653374</v>
      </c>
      <c r="O143">
        <f t="shared" si="75"/>
        <v>-0.25310418192703543</v>
      </c>
      <c r="P143">
        <f t="shared" si="75"/>
        <v>-0.24349600906098526</v>
      </c>
      <c r="Q143">
        <f t="shared" si="75"/>
        <v>-0.23490466405664204</v>
      </c>
      <c r="R143">
        <f t="shared" si="75"/>
        <v>-0.22716264335472833</v>
      </c>
      <c r="S143">
        <f t="shared" si="75"/>
        <v>-0.22013868009341664</v>
      </c>
      <c r="T143">
        <f t="shared" si="75"/>
        <v>-0.21372825319651068</v>
      </c>
      <c r="U143">
        <f t="shared" si="75"/>
        <v>-0.20784696716683554</v>
      </c>
      <c r="V143">
        <f t="shared" si="75"/>
        <v>-0.20242583003252465</v>
      </c>
      <c r="W143">
        <f t="shared" si="75"/>
        <v>-0.19740781819185482</v>
      </c>
    </row>
    <row r="144" spans="1:23" x14ac:dyDescent="0.2">
      <c r="A144" s="1">
        <f t="shared" si="76"/>
        <v>1.5</v>
      </c>
      <c r="D144">
        <f t="shared" si="74"/>
        <v>0</v>
      </c>
      <c r="E144">
        <f t="shared" si="74"/>
        <v>0</v>
      </c>
      <c r="F144">
        <f t="shared" si="74"/>
        <v>0</v>
      </c>
      <c r="G144">
        <f t="shared" si="74"/>
        <v>0</v>
      </c>
      <c r="H144">
        <f t="shared" si="74"/>
        <v>0</v>
      </c>
      <c r="I144">
        <f t="shared" si="74"/>
        <v>0</v>
      </c>
      <c r="J144">
        <f t="shared" si="74"/>
        <v>0</v>
      </c>
      <c r="K144">
        <f t="shared" si="74"/>
        <v>0</v>
      </c>
      <c r="L144">
        <f t="shared" si="74"/>
        <v>0</v>
      </c>
      <c r="M144">
        <f t="shared" si="74"/>
        <v>0</v>
      </c>
      <c r="N144">
        <f t="shared" si="75"/>
        <v>0</v>
      </c>
      <c r="O144">
        <f t="shared" si="75"/>
        <v>0</v>
      </c>
      <c r="P144">
        <f t="shared" si="75"/>
        <v>0</v>
      </c>
      <c r="Q144">
        <f t="shared" si="75"/>
        <v>0</v>
      </c>
      <c r="R144">
        <f t="shared" si="75"/>
        <v>0</v>
      </c>
      <c r="S144">
        <f t="shared" si="75"/>
        <v>0</v>
      </c>
      <c r="T144">
        <f t="shared" si="75"/>
        <v>0</v>
      </c>
      <c r="U144">
        <f t="shared" si="75"/>
        <v>0</v>
      </c>
      <c r="V144">
        <f t="shared" si="75"/>
        <v>0</v>
      </c>
      <c r="W144">
        <f t="shared" si="75"/>
        <v>0</v>
      </c>
    </row>
    <row r="145" spans="1:23" x14ac:dyDescent="0.2">
      <c r="A145" s="1">
        <f t="shared" si="76"/>
        <v>2</v>
      </c>
      <c r="D145">
        <f t="shared" si="74"/>
        <v>0.73620888392100647</v>
      </c>
      <c r="E145">
        <f t="shared" si="74"/>
        <v>0.57068936110075086</v>
      </c>
      <c r="F145">
        <f t="shared" si="74"/>
        <v>0.4813253030018082</v>
      </c>
      <c r="G145">
        <f t="shared" si="74"/>
        <v>0.42380219715860074</v>
      </c>
      <c r="H145">
        <f t="shared" si="74"/>
        <v>0.38288972085551104</v>
      </c>
      <c r="I145">
        <f t="shared" si="74"/>
        <v>0.3518957887026713</v>
      </c>
      <c r="J145">
        <f t="shared" si="74"/>
        <v>0.32737415846914047</v>
      </c>
      <c r="K145">
        <f t="shared" si="74"/>
        <v>0.30734898698330532</v>
      </c>
      <c r="L145">
        <f t="shared" si="74"/>
        <v>0.29059647481487277</v>
      </c>
      <c r="M145">
        <f t="shared" si="74"/>
        <v>0.27631314094390019</v>
      </c>
      <c r="N145">
        <f t="shared" si="75"/>
        <v>0.26394688100653374</v>
      </c>
      <c r="O145">
        <f t="shared" si="75"/>
        <v>0.25310418192703543</v>
      </c>
      <c r="P145">
        <f t="shared" si="75"/>
        <v>0.24349600906098526</v>
      </c>
      <c r="Q145">
        <f t="shared" si="75"/>
        <v>0.23490466405664204</v>
      </c>
      <c r="R145">
        <f t="shared" si="75"/>
        <v>0.22716264335472833</v>
      </c>
      <c r="S145">
        <f t="shared" si="75"/>
        <v>0.22013868009341664</v>
      </c>
      <c r="T145">
        <f t="shared" si="75"/>
        <v>0.21372825319651068</v>
      </c>
      <c r="U145">
        <f t="shared" si="75"/>
        <v>0.20784696716683554</v>
      </c>
      <c r="V145">
        <f t="shared" si="75"/>
        <v>0.20242583003252465</v>
      </c>
      <c r="W145">
        <f t="shared" si="75"/>
        <v>0.19740781819185482</v>
      </c>
    </row>
    <row r="146" spans="1:23" x14ac:dyDescent="0.2">
      <c r="A146" s="1">
        <f t="shared" si="76"/>
        <v>2.5</v>
      </c>
      <c r="D146">
        <f t="shared" si="74"/>
        <v>0.97457941982776841</v>
      </c>
      <c r="E146">
        <f t="shared" si="74"/>
        <v>0.88606334644810991</v>
      </c>
      <c r="F146">
        <f t="shared" si="74"/>
        <v>0.80321979513021713</v>
      </c>
      <c r="G146">
        <f t="shared" si="74"/>
        <v>0.73638784344308883</v>
      </c>
      <c r="H146">
        <f t="shared" si="74"/>
        <v>0.68264110283111257</v>
      </c>
      <c r="I146">
        <f t="shared" si="74"/>
        <v>0.6386495610683065</v>
      </c>
      <c r="J146">
        <f t="shared" si="74"/>
        <v>0.6019415822401919</v>
      </c>
      <c r="K146">
        <f t="shared" si="74"/>
        <v>0.57077585852538659</v>
      </c>
      <c r="L146">
        <f t="shared" si="74"/>
        <v>0.54391843530442974</v>
      </c>
      <c r="M146">
        <f t="shared" si="74"/>
        <v>0.52047790962157714</v>
      </c>
      <c r="N146">
        <f t="shared" si="75"/>
        <v>0.49979626343727501</v>
      </c>
      <c r="O146">
        <f t="shared" si="75"/>
        <v>0.48137756061650749</v>
      </c>
      <c r="P146">
        <f t="shared" si="75"/>
        <v>0.46484084614260285</v>
      </c>
      <c r="Q146">
        <f t="shared" si="75"/>
        <v>0.44988843883624985</v>
      </c>
      <c r="R146">
        <f t="shared" si="75"/>
        <v>0.43628414094983836</v>
      </c>
      <c r="S146">
        <f t="shared" si="75"/>
        <v>0.42383795626514609</v>
      </c>
      <c r="T146">
        <f t="shared" si="75"/>
        <v>0.41239516609558052</v>
      </c>
      <c r="U146">
        <f t="shared" si="75"/>
        <v>0.40182838129055404</v>
      </c>
      <c r="V146">
        <f t="shared" si="75"/>
        <v>0.39203166493312913</v>
      </c>
      <c r="W146">
        <f t="shared" si="75"/>
        <v>0.38291612121740171</v>
      </c>
    </row>
    <row r="147" spans="1:23" x14ac:dyDescent="0.2">
      <c r="A147" s="1">
        <f t="shared" si="76"/>
        <v>3</v>
      </c>
      <c r="D147">
        <f t="shared" si="74"/>
        <v>0.99919893396591453</v>
      </c>
      <c r="E147">
        <f t="shared" si="74"/>
        <v>0.98226551376952165</v>
      </c>
      <c r="F147">
        <f t="shared" si="74"/>
        <v>0.94715299473892134</v>
      </c>
      <c r="G147">
        <f t="shared" si="74"/>
        <v>0.9064264985651197</v>
      </c>
      <c r="H147">
        <f t="shared" si="74"/>
        <v>0.86634674364081476</v>
      </c>
      <c r="I147">
        <f t="shared" si="74"/>
        <v>0.82906082743109077</v>
      </c>
      <c r="J147">
        <f t="shared" si="74"/>
        <v>0.79507375940577485</v>
      </c>
      <c r="K147">
        <f t="shared" si="74"/>
        <v>0.76429081362646167</v>
      </c>
      <c r="L147">
        <f t="shared" si="74"/>
        <v>0.73642099698361685</v>
      </c>
      <c r="M147">
        <f t="shared" si="74"/>
        <v>0.71113152486852227</v>
      </c>
      <c r="N147">
        <f t="shared" si="75"/>
        <v>0.68810504166180109</v>
      </c>
      <c r="O147">
        <f t="shared" si="75"/>
        <v>0.66705824911503264</v>
      </c>
      <c r="P147">
        <f t="shared" si="75"/>
        <v>0.64774526095649354</v>
      </c>
      <c r="Q147">
        <f t="shared" si="75"/>
        <v>0.62995519669047029</v>
      </c>
      <c r="R147">
        <f t="shared" si="75"/>
        <v>0.61350793952739202</v>
      </c>
      <c r="S147">
        <f t="shared" si="75"/>
        <v>0.59824965306516209</v>
      </c>
      <c r="T147">
        <f t="shared" si="75"/>
        <v>0.58404866186715609</v>
      </c>
      <c r="U147">
        <f t="shared" si="75"/>
        <v>0.57079188079369214</v>
      </c>
      <c r="V147">
        <f t="shared" si="75"/>
        <v>0.55838180448813057</v>
      </c>
      <c r="W147">
        <f t="shared" si="75"/>
        <v>0.54673400293661945</v>
      </c>
    </row>
    <row r="148" spans="1:23" x14ac:dyDescent="0.2">
      <c r="A148" s="1">
        <f t="shared" si="76"/>
        <v>3.5</v>
      </c>
      <c r="D148">
        <f t="shared" si="74"/>
        <v>0.99999217443948685</v>
      </c>
      <c r="E148">
        <f t="shared" si="74"/>
        <v>0.9984303438391221</v>
      </c>
      <c r="F148">
        <f t="shared" si="74"/>
        <v>0.99016447291168919</v>
      </c>
      <c r="G148">
        <f t="shared" si="74"/>
        <v>0.97463437280652754</v>
      </c>
      <c r="H148">
        <f t="shared" si="74"/>
        <v>0.95447813863754083</v>
      </c>
      <c r="I148">
        <f t="shared" si="74"/>
        <v>0.9320879164039727</v>
      </c>
      <c r="J148">
        <f t="shared" si="74"/>
        <v>0.90900796568410835</v>
      </c>
      <c r="K148">
        <f t="shared" si="74"/>
        <v>0.88613111204728701</v>
      </c>
      <c r="L148">
        <f t="shared" si="74"/>
        <v>0.86394111972071974</v>
      </c>
      <c r="M148">
        <f t="shared" si="74"/>
        <v>0.84268003809373693</v>
      </c>
      <c r="N148">
        <f t="shared" si="75"/>
        <v>0.82245044554743751</v>
      </c>
      <c r="O148">
        <f t="shared" si="75"/>
        <v>0.80327574538404456</v>
      </c>
      <c r="P148">
        <f t="shared" si="75"/>
        <v>0.78513541557666766</v>
      </c>
      <c r="Q148">
        <f t="shared" si="75"/>
        <v>0.76798560349684253</v>
      </c>
      <c r="R148">
        <f t="shared" si="75"/>
        <v>0.75177115410486028</v>
      </c>
      <c r="S148">
        <f t="shared" si="75"/>
        <v>0.7364326016746654</v>
      </c>
      <c r="T148">
        <f t="shared" si="75"/>
        <v>0.72191017913157296</v>
      </c>
      <c r="U148">
        <f t="shared" si="75"/>
        <v>0.70814605098641703</v>
      </c>
      <c r="V148">
        <f t="shared" si="75"/>
        <v>0.6950854853648929</v>
      </c>
      <c r="W148">
        <f t="shared" si="75"/>
        <v>0.68267739390331572</v>
      </c>
    </row>
    <row r="149" spans="1:23" x14ac:dyDescent="0.2">
      <c r="A149" s="1">
        <f t="shared" si="76"/>
        <v>4</v>
      </c>
      <c r="D149">
        <f t="shared" si="74"/>
        <v>0.99999997694750165</v>
      </c>
      <c r="E149">
        <f t="shared" si="74"/>
        <v>0.99992245364646182</v>
      </c>
      <c r="F149">
        <f t="shared" si="74"/>
        <v>0.99874881953521366</v>
      </c>
      <c r="G149">
        <f t="shared" si="74"/>
        <v>0.99480578309334011</v>
      </c>
      <c r="H149">
        <f t="shared" si="74"/>
        <v>0.98757190377414983</v>
      </c>
      <c r="I149">
        <f t="shared" si="74"/>
        <v>0.9775099019804091</v>
      </c>
      <c r="J149">
        <f t="shared" si="74"/>
        <v>0.96537652126793261</v>
      </c>
      <c r="K149">
        <f t="shared" si="74"/>
        <v>0.95187919295446699</v>
      </c>
      <c r="L149">
        <f t="shared" si="74"/>
        <v>0.93757802705725035</v>
      </c>
      <c r="M149">
        <f t="shared" si="74"/>
        <v>0.92288534564014968</v>
      </c>
      <c r="N149">
        <f t="shared" si="75"/>
        <v>0.90809301997559888</v>
      </c>
      <c r="O149">
        <f t="shared" si="75"/>
        <v>0.89340223986316003</v>
      </c>
      <c r="P149">
        <f t="shared" si="75"/>
        <v>0.87894835753843359</v>
      </c>
      <c r="Q149">
        <f t="shared" si="75"/>
        <v>0.86481978210600463</v>
      </c>
      <c r="R149">
        <f t="shared" si="75"/>
        <v>0.8510717811207793</v>
      </c>
      <c r="S149">
        <f t="shared" si="75"/>
        <v>0.83773637717800475</v>
      </c>
      <c r="T149">
        <f t="shared" si="75"/>
        <v>0.8248293867988703</v>
      </c>
      <c r="U149">
        <f t="shared" si="75"/>
        <v>0.81235541179792525</v>
      </c>
      <c r="V149">
        <f t="shared" si="75"/>
        <v>0.80031137680135167</v>
      </c>
      <c r="W149">
        <f t="shared" si="75"/>
        <v>0.78868903730357409</v>
      </c>
    </row>
    <row r="150" spans="1:23" x14ac:dyDescent="0.2">
      <c r="A150" s="1">
        <f t="shared" si="76"/>
        <v>4.5</v>
      </c>
      <c r="D150">
        <f t="shared" si="74"/>
        <v>0.99999999997983902</v>
      </c>
      <c r="E150">
        <f t="shared" si="74"/>
        <v>0.99999788622683139</v>
      </c>
      <c r="F150">
        <f t="shared" si="74"/>
        <v>0.99989220368199716</v>
      </c>
      <c r="G150">
        <f t="shared" si="74"/>
        <v>0.99920256274092689</v>
      </c>
      <c r="H150">
        <f t="shared" si="74"/>
        <v>0.99729754402993331</v>
      </c>
      <c r="I150">
        <f t="shared" si="74"/>
        <v>0.99382581749714061</v>
      </c>
      <c r="J150">
        <f t="shared" si="74"/>
        <v>0.98876430602536014</v>
      </c>
      <c r="K150">
        <f t="shared" si="74"/>
        <v>0.9822868308341377</v>
      </c>
      <c r="L150">
        <f t="shared" si="74"/>
        <v>0.97464454476914464</v>
      </c>
      <c r="M150">
        <f t="shared" si="74"/>
        <v>0.96609622636916381</v>
      </c>
      <c r="N150">
        <f t="shared" si="75"/>
        <v>0.95687606666388914</v>
      </c>
      <c r="O150">
        <f t="shared" si="75"/>
        <v>0.94718261558507322</v>
      </c>
      <c r="P150">
        <f t="shared" si="75"/>
        <v>0.93717803804904198</v>
      </c>
      <c r="Q150">
        <f t="shared" si="75"/>
        <v>0.92699171332724073</v>
      </c>
      <c r="R150">
        <f t="shared" si="75"/>
        <v>0.91672520464780738</v>
      </c>
      <c r="S150">
        <f t="shared" si="75"/>
        <v>0.90645724003426542</v>
      </c>
      <c r="T150">
        <f t="shared" si="75"/>
        <v>0.89624815836000271</v>
      </c>
      <c r="U150">
        <f t="shared" si="75"/>
        <v>0.88614366193014393</v>
      </c>
      <c r="V150">
        <f t="shared" si="75"/>
        <v>0.87617788868507651</v>
      </c>
      <c r="W150">
        <f t="shared" si="75"/>
        <v>0.86637588373367846</v>
      </c>
    </row>
    <row r="151" spans="1:23" x14ac:dyDescent="0.2">
      <c r="A151" s="1">
        <f t="shared" si="76"/>
        <v>5</v>
      </c>
      <c r="D151">
        <f t="shared" si="74"/>
        <v>0.99999999999999478</v>
      </c>
      <c r="E151">
        <f t="shared" si="74"/>
        <v>0.99999996844868178</v>
      </c>
      <c r="F151">
        <f t="shared" si="74"/>
        <v>0.99999374931984208</v>
      </c>
      <c r="G151">
        <f t="shared" si="74"/>
        <v>0.99990870360518491</v>
      </c>
      <c r="H151">
        <f t="shared" si="74"/>
        <v>0.99953413068146801</v>
      </c>
      <c r="I151">
        <f t="shared" si="74"/>
        <v>0.99860063516410813</v>
      </c>
      <c r="J151">
        <f t="shared" si="74"/>
        <v>0.99690185685633648</v>
      </c>
      <c r="K151">
        <f t="shared" si="74"/>
        <v>0.99433940055079695</v>
      </c>
      <c r="L151">
        <f t="shared" si="74"/>
        <v>0.99090868363857609</v>
      </c>
      <c r="M151">
        <f t="shared" si="74"/>
        <v>0.98666705304628877</v>
      </c>
      <c r="N151">
        <f t="shared" si="75"/>
        <v>0.98170496930313478</v>
      </c>
      <c r="O151">
        <f t="shared" si="75"/>
        <v>0.97612570515823827</v>
      </c>
      <c r="P151">
        <f t="shared" si="75"/>
        <v>0.97003285587869603</v>
      </c>
      <c r="Q151">
        <f t="shared" si="75"/>
        <v>0.96352348216326633</v>
      </c>
      <c r="R151">
        <f t="shared" si="75"/>
        <v>0.95668488049806666</v>
      </c>
      <c r="S151">
        <f t="shared" si="75"/>
        <v>0.94959352227468441</v>
      </c>
      <c r="T151">
        <f t="shared" si="75"/>
        <v>0.94231520385606626</v>
      </c>
      <c r="U151">
        <f t="shared" si="75"/>
        <v>0.93490581498175263</v>
      </c>
      <c r="V151">
        <f t="shared" si="75"/>
        <v>0.92741237481055228</v>
      </c>
      <c r="W151">
        <f t="shared" si="75"/>
        <v>0.91987413700107556</v>
      </c>
    </row>
    <row r="154" spans="1:23" x14ac:dyDescent="0.2">
      <c r="A154" t="s">
        <v>28</v>
      </c>
    </row>
    <row r="155" spans="1:23" x14ac:dyDescent="0.2">
      <c r="A155" t="s">
        <v>21</v>
      </c>
      <c r="B155" t="s">
        <v>22</v>
      </c>
      <c r="C155" s="2">
        <v>1E-3</v>
      </c>
      <c r="D155">
        <f>+C155+dx</f>
        <v>1.0009999999999999</v>
      </c>
      <c r="E155">
        <f t="shared" ref="E155:W155" si="77">+D155+dx</f>
        <v>2.0009999999999999</v>
      </c>
      <c r="F155">
        <f t="shared" si="77"/>
        <v>3.0009999999999999</v>
      </c>
      <c r="G155">
        <f t="shared" si="77"/>
        <v>4.0009999999999994</v>
      </c>
      <c r="H155">
        <f t="shared" si="77"/>
        <v>5.0009999999999994</v>
      </c>
      <c r="I155">
        <f t="shared" si="77"/>
        <v>6.0009999999999994</v>
      </c>
      <c r="J155">
        <f t="shared" si="77"/>
        <v>7.0009999999999994</v>
      </c>
      <c r="K155">
        <f t="shared" si="77"/>
        <v>8.0009999999999994</v>
      </c>
      <c r="L155">
        <f t="shared" si="77"/>
        <v>9.0009999999999994</v>
      </c>
      <c r="M155">
        <f t="shared" si="77"/>
        <v>10.000999999999999</v>
      </c>
      <c r="N155">
        <f t="shared" si="77"/>
        <v>11.000999999999999</v>
      </c>
      <c r="O155">
        <f t="shared" si="77"/>
        <v>12.000999999999999</v>
      </c>
      <c r="P155">
        <f t="shared" si="77"/>
        <v>13.000999999999999</v>
      </c>
      <c r="Q155">
        <f t="shared" si="77"/>
        <v>14.000999999999999</v>
      </c>
      <c r="R155">
        <f t="shared" si="77"/>
        <v>15.000999999999999</v>
      </c>
      <c r="S155">
        <f t="shared" si="77"/>
        <v>16.000999999999998</v>
      </c>
      <c r="T155">
        <f t="shared" si="77"/>
        <v>17.000999999999998</v>
      </c>
      <c r="U155">
        <f t="shared" si="77"/>
        <v>18.000999999999998</v>
      </c>
      <c r="V155">
        <f t="shared" si="77"/>
        <v>19.000999999999998</v>
      </c>
      <c r="W155">
        <f t="shared" si="77"/>
        <v>20.000999999999998</v>
      </c>
    </row>
    <row r="156" spans="1:23" x14ac:dyDescent="0.2">
      <c r="A156" s="1">
        <f t="shared" ref="A156:A164" si="78">+A157+dy</f>
        <v>5</v>
      </c>
      <c r="D156">
        <f t="shared" ref="D156:M165" si="79">IF(((d+Z)/(2*(az*D$155)^0.5))&gt;27,1,IF(((d+Z)/(2*(az*D$155)^0.5))&gt;0,ERF(((d+Z)/(2*(az*D$155)^0.5))),IF(((d+Z)/(2*(az*D$155)^0.5))&lt;-27,-1,-ERF(ABS(((d+Z)/(2*(az*D$155)^0.5)))))))</f>
        <v>1</v>
      </c>
      <c r="E156">
        <f t="shared" si="79"/>
        <v>1</v>
      </c>
      <c r="F156">
        <f t="shared" si="79"/>
        <v>1</v>
      </c>
      <c r="G156">
        <f t="shared" si="79"/>
        <v>1</v>
      </c>
      <c r="H156">
        <f t="shared" si="79"/>
        <v>1</v>
      </c>
      <c r="I156">
        <f t="shared" si="79"/>
        <v>1</v>
      </c>
      <c r="J156">
        <f t="shared" si="79"/>
        <v>1</v>
      </c>
      <c r="K156">
        <f t="shared" si="79"/>
        <v>1</v>
      </c>
      <c r="L156">
        <f t="shared" si="79"/>
        <v>1</v>
      </c>
      <c r="M156">
        <f t="shared" si="79"/>
        <v>1</v>
      </c>
      <c r="N156">
        <f t="shared" ref="N156:W165" si="80">IF(((d+Z)/(2*(az*N$155)^0.5))&gt;27,1,IF(((d+Z)/(2*(az*N$155)^0.5))&gt;0,ERF(((d+Z)/(2*(az*N$155)^0.5))),IF(((d+Z)/(2*(az*N$155)^0.5))&lt;-27,-1,-ERF(ABS(((d+Z)/(2*(az*N$155)^0.5)))))))</f>
        <v>1</v>
      </c>
      <c r="O156">
        <f t="shared" si="80"/>
        <v>1</v>
      </c>
      <c r="P156">
        <f t="shared" si="80"/>
        <v>1</v>
      </c>
      <c r="Q156">
        <f t="shared" si="80"/>
        <v>1</v>
      </c>
      <c r="R156">
        <f t="shared" si="80"/>
        <v>1</v>
      </c>
      <c r="S156">
        <f t="shared" si="80"/>
        <v>1</v>
      </c>
      <c r="T156">
        <f t="shared" si="80"/>
        <v>1</v>
      </c>
      <c r="U156">
        <f t="shared" si="80"/>
        <v>1</v>
      </c>
      <c r="V156">
        <f t="shared" si="80"/>
        <v>1</v>
      </c>
      <c r="W156">
        <f t="shared" si="80"/>
        <v>1</v>
      </c>
    </row>
    <row r="157" spans="1:23" x14ac:dyDescent="0.2">
      <c r="A157" s="1">
        <f t="shared" si="78"/>
        <v>4.5</v>
      </c>
      <c r="D157">
        <f t="shared" si="79"/>
        <v>1</v>
      </c>
      <c r="E157">
        <f t="shared" si="79"/>
        <v>1</v>
      </c>
      <c r="F157">
        <f t="shared" si="79"/>
        <v>1</v>
      </c>
      <c r="G157">
        <f t="shared" si="79"/>
        <v>1</v>
      </c>
      <c r="H157">
        <f t="shared" si="79"/>
        <v>1</v>
      </c>
      <c r="I157">
        <f t="shared" si="79"/>
        <v>1</v>
      </c>
      <c r="J157">
        <f t="shared" si="79"/>
        <v>1</v>
      </c>
      <c r="K157">
        <f t="shared" si="79"/>
        <v>1</v>
      </c>
      <c r="L157">
        <f t="shared" si="79"/>
        <v>1</v>
      </c>
      <c r="M157">
        <f t="shared" si="79"/>
        <v>1</v>
      </c>
      <c r="N157">
        <f t="shared" si="80"/>
        <v>1</v>
      </c>
      <c r="O157">
        <f t="shared" si="80"/>
        <v>1</v>
      </c>
      <c r="P157">
        <f t="shared" si="80"/>
        <v>1</v>
      </c>
      <c r="Q157">
        <f t="shared" si="80"/>
        <v>1</v>
      </c>
      <c r="R157">
        <f t="shared" si="80"/>
        <v>1</v>
      </c>
      <c r="S157">
        <f t="shared" si="80"/>
        <v>1</v>
      </c>
      <c r="T157">
        <f t="shared" si="80"/>
        <v>1</v>
      </c>
      <c r="U157">
        <f t="shared" si="80"/>
        <v>1</v>
      </c>
      <c r="V157">
        <f t="shared" si="80"/>
        <v>1</v>
      </c>
      <c r="W157">
        <f t="shared" si="80"/>
        <v>1</v>
      </c>
    </row>
    <row r="158" spans="1:23" x14ac:dyDescent="0.2">
      <c r="A158" s="1">
        <f t="shared" si="78"/>
        <v>4</v>
      </c>
      <c r="D158">
        <f t="shared" si="79"/>
        <v>1</v>
      </c>
      <c r="E158">
        <f t="shared" si="79"/>
        <v>1</v>
      </c>
      <c r="F158">
        <f t="shared" si="79"/>
        <v>1</v>
      </c>
      <c r="G158">
        <f t="shared" si="79"/>
        <v>1</v>
      </c>
      <c r="H158">
        <f t="shared" si="79"/>
        <v>1</v>
      </c>
      <c r="I158">
        <f t="shared" si="79"/>
        <v>1</v>
      </c>
      <c r="J158">
        <f t="shared" si="79"/>
        <v>1</v>
      </c>
      <c r="K158">
        <f t="shared" si="79"/>
        <v>1</v>
      </c>
      <c r="L158">
        <f t="shared" si="79"/>
        <v>1</v>
      </c>
      <c r="M158">
        <f t="shared" si="79"/>
        <v>1</v>
      </c>
      <c r="N158">
        <f t="shared" si="80"/>
        <v>1</v>
      </c>
      <c r="O158">
        <f t="shared" si="80"/>
        <v>1</v>
      </c>
      <c r="P158">
        <f t="shared" si="80"/>
        <v>1</v>
      </c>
      <c r="Q158">
        <f t="shared" si="80"/>
        <v>1</v>
      </c>
      <c r="R158">
        <f t="shared" si="80"/>
        <v>1</v>
      </c>
      <c r="S158">
        <f t="shared" si="80"/>
        <v>1</v>
      </c>
      <c r="T158">
        <f t="shared" si="80"/>
        <v>1</v>
      </c>
      <c r="U158">
        <f t="shared" si="80"/>
        <v>1</v>
      </c>
      <c r="V158">
        <f t="shared" si="80"/>
        <v>1</v>
      </c>
      <c r="W158">
        <f t="shared" si="80"/>
        <v>1</v>
      </c>
    </row>
    <row r="159" spans="1:23" x14ac:dyDescent="0.2">
      <c r="A159" s="1">
        <f t="shared" si="78"/>
        <v>3.5</v>
      </c>
      <c r="D159">
        <f t="shared" si="79"/>
        <v>1</v>
      </c>
      <c r="E159">
        <f t="shared" si="79"/>
        <v>1</v>
      </c>
      <c r="F159">
        <f t="shared" si="79"/>
        <v>1</v>
      </c>
      <c r="G159">
        <f t="shared" si="79"/>
        <v>1</v>
      </c>
      <c r="H159">
        <f t="shared" si="79"/>
        <v>1</v>
      </c>
      <c r="I159">
        <f t="shared" si="79"/>
        <v>1</v>
      </c>
      <c r="J159">
        <f t="shared" si="79"/>
        <v>1</v>
      </c>
      <c r="K159">
        <f t="shared" si="79"/>
        <v>1</v>
      </c>
      <c r="L159">
        <f t="shared" si="79"/>
        <v>1</v>
      </c>
      <c r="M159">
        <f t="shared" si="79"/>
        <v>1</v>
      </c>
      <c r="N159">
        <f t="shared" si="80"/>
        <v>1</v>
      </c>
      <c r="O159">
        <f t="shared" si="80"/>
        <v>1</v>
      </c>
      <c r="P159">
        <f t="shared" si="80"/>
        <v>1</v>
      </c>
      <c r="Q159">
        <f t="shared" si="80"/>
        <v>1</v>
      </c>
      <c r="R159">
        <f t="shared" si="80"/>
        <v>1</v>
      </c>
      <c r="S159">
        <f t="shared" si="80"/>
        <v>1</v>
      </c>
      <c r="T159">
        <f t="shared" si="80"/>
        <v>1</v>
      </c>
      <c r="U159">
        <f t="shared" si="80"/>
        <v>1</v>
      </c>
      <c r="V159">
        <f t="shared" si="80"/>
        <v>1</v>
      </c>
      <c r="W159">
        <f t="shared" si="80"/>
        <v>1</v>
      </c>
    </row>
    <row r="160" spans="1:23" x14ac:dyDescent="0.2">
      <c r="A160" s="1">
        <f t="shared" si="78"/>
        <v>3</v>
      </c>
      <c r="D160">
        <f t="shared" si="79"/>
        <v>1</v>
      </c>
      <c r="E160">
        <f t="shared" si="79"/>
        <v>1</v>
      </c>
      <c r="F160">
        <f t="shared" si="79"/>
        <v>1</v>
      </c>
      <c r="G160">
        <f t="shared" si="79"/>
        <v>1</v>
      </c>
      <c r="H160">
        <f t="shared" si="79"/>
        <v>1</v>
      </c>
      <c r="I160">
        <f t="shared" si="79"/>
        <v>1</v>
      </c>
      <c r="J160">
        <f t="shared" si="79"/>
        <v>1</v>
      </c>
      <c r="K160">
        <f t="shared" si="79"/>
        <v>1</v>
      </c>
      <c r="L160">
        <f t="shared" si="79"/>
        <v>1</v>
      </c>
      <c r="M160">
        <f t="shared" si="79"/>
        <v>1</v>
      </c>
      <c r="N160">
        <f t="shared" si="80"/>
        <v>1</v>
      </c>
      <c r="O160">
        <f t="shared" si="80"/>
        <v>1</v>
      </c>
      <c r="P160">
        <f t="shared" si="80"/>
        <v>1</v>
      </c>
      <c r="Q160">
        <f t="shared" si="80"/>
        <v>1</v>
      </c>
      <c r="R160">
        <f t="shared" si="80"/>
        <v>1</v>
      </c>
      <c r="S160">
        <f t="shared" si="80"/>
        <v>1</v>
      </c>
      <c r="T160">
        <f t="shared" si="80"/>
        <v>1</v>
      </c>
      <c r="U160">
        <f t="shared" si="80"/>
        <v>1</v>
      </c>
      <c r="V160">
        <f t="shared" si="80"/>
        <v>1</v>
      </c>
      <c r="W160">
        <f t="shared" si="80"/>
        <v>1</v>
      </c>
    </row>
    <row r="161" spans="1:23" x14ac:dyDescent="0.2">
      <c r="A161" s="1">
        <f t="shared" si="78"/>
        <v>2.5</v>
      </c>
      <c r="D161">
        <f t="shared" si="79"/>
        <v>1</v>
      </c>
      <c r="E161">
        <f t="shared" si="79"/>
        <v>1</v>
      </c>
      <c r="F161">
        <f t="shared" si="79"/>
        <v>1</v>
      </c>
      <c r="G161">
        <f t="shared" si="79"/>
        <v>1</v>
      </c>
      <c r="H161">
        <f t="shared" si="79"/>
        <v>1</v>
      </c>
      <c r="I161">
        <f t="shared" si="79"/>
        <v>1</v>
      </c>
      <c r="J161">
        <f t="shared" si="79"/>
        <v>1</v>
      </c>
      <c r="K161">
        <f t="shared" si="79"/>
        <v>1</v>
      </c>
      <c r="L161">
        <f t="shared" si="79"/>
        <v>1</v>
      </c>
      <c r="M161">
        <f t="shared" si="79"/>
        <v>1</v>
      </c>
      <c r="N161">
        <f t="shared" si="80"/>
        <v>1</v>
      </c>
      <c r="O161">
        <f t="shared" si="80"/>
        <v>1</v>
      </c>
      <c r="P161">
        <f t="shared" si="80"/>
        <v>1</v>
      </c>
      <c r="Q161">
        <f t="shared" si="80"/>
        <v>1</v>
      </c>
      <c r="R161">
        <f t="shared" si="80"/>
        <v>1</v>
      </c>
      <c r="S161">
        <f t="shared" si="80"/>
        <v>1</v>
      </c>
      <c r="T161">
        <f t="shared" si="80"/>
        <v>1</v>
      </c>
      <c r="U161">
        <f t="shared" si="80"/>
        <v>1</v>
      </c>
      <c r="V161">
        <f t="shared" si="80"/>
        <v>1</v>
      </c>
      <c r="W161">
        <f t="shared" si="80"/>
        <v>1</v>
      </c>
    </row>
    <row r="162" spans="1:23" x14ac:dyDescent="0.2">
      <c r="A162" s="1">
        <f t="shared" si="78"/>
        <v>2</v>
      </c>
      <c r="D162">
        <f t="shared" si="79"/>
        <v>1</v>
      </c>
      <c r="E162">
        <f t="shared" si="79"/>
        <v>1</v>
      </c>
      <c r="F162">
        <f t="shared" si="79"/>
        <v>1</v>
      </c>
      <c r="G162">
        <f t="shared" si="79"/>
        <v>1</v>
      </c>
      <c r="H162">
        <f t="shared" si="79"/>
        <v>1</v>
      </c>
      <c r="I162">
        <f t="shared" si="79"/>
        <v>1</v>
      </c>
      <c r="J162">
        <f t="shared" si="79"/>
        <v>1</v>
      </c>
      <c r="K162">
        <f t="shared" si="79"/>
        <v>1</v>
      </c>
      <c r="L162">
        <f t="shared" si="79"/>
        <v>1</v>
      </c>
      <c r="M162">
        <f t="shared" si="79"/>
        <v>1</v>
      </c>
      <c r="N162">
        <f t="shared" si="80"/>
        <v>1</v>
      </c>
      <c r="O162">
        <f t="shared" si="80"/>
        <v>1</v>
      </c>
      <c r="P162">
        <f t="shared" si="80"/>
        <v>1</v>
      </c>
      <c r="Q162">
        <f t="shared" si="80"/>
        <v>1</v>
      </c>
      <c r="R162">
        <f t="shared" si="80"/>
        <v>1</v>
      </c>
      <c r="S162">
        <f t="shared" si="80"/>
        <v>1</v>
      </c>
      <c r="T162">
        <f t="shared" si="80"/>
        <v>1</v>
      </c>
      <c r="U162">
        <f t="shared" si="80"/>
        <v>1</v>
      </c>
      <c r="V162">
        <f t="shared" si="80"/>
        <v>1</v>
      </c>
      <c r="W162">
        <f t="shared" si="80"/>
        <v>1</v>
      </c>
    </row>
    <row r="163" spans="1:23" x14ac:dyDescent="0.2">
      <c r="A163" s="1">
        <f t="shared" si="78"/>
        <v>1.5</v>
      </c>
      <c r="D163">
        <f t="shared" si="79"/>
        <v>1</v>
      </c>
      <c r="E163">
        <f t="shared" si="79"/>
        <v>1</v>
      </c>
      <c r="F163">
        <f t="shared" si="79"/>
        <v>1</v>
      </c>
      <c r="G163">
        <f t="shared" si="79"/>
        <v>1</v>
      </c>
      <c r="H163">
        <f t="shared" si="79"/>
        <v>1</v>
      </c>
      <c r="I163">
        <f t="shared" si="79"/>
        <v>1</v>
      </c>
      <c r="J163">
        <f t="shared" si="79"/>
        <v>1</v>
      </c>
      <c r="K163">
        <f t="shared" si="79"/>
        <v>1</v>
      </c>
      <c r="L163">
        <f t="shared" si="79"/>
        <v>1</v>
      </c>
      <c r="M163">
        <f t="shared" si="79"/>
        <v>1</v>
      </c>
      <c r="N163">
        <f t="shared" si="80"/>
        <v>1</v>
      </c>
      <c r="O163">
        <f t="shared" si="80"/>
        <v>1</v>
      </c>
      <c r="P163">
        <f t="shared" si="80"/>
        <v>1</v>
      </c>
      <c r="Q163">
        <f t="shared" si="80"/>
        <v>1</v>
      </c>
      <c r="R163">
        <f t="shared" si="80"/>
        <v>1</v>
      </c>
      <c r="S163">
        <f t="shared" si="80"/>
        <v>1</v>
      </c>
      <c r="T163">
        <f t="shared" si="80"/>
        <v>1</v>
      </c>
      <c r="U163">
        <f t="shared" si="80"/>
        <v>1</v>
      </c>
      <c r="V163">
        <f t="shared" si="80"/>
        <v>1</v>
      </c>
      <c r="W163">
        <f t="shared" si="80"/>
        <v>1</v>
      </c>
    </row>
    <row r="164" spans="1:23" x14ac:dyDescent="0.2">
      <c r="A164" s="1">
        <f t="shared" si="78"/>
        <v>1</v>
      </c>
      <c r="D164">
        <f t="shared" si="79"/>
        <v>1</v>
      </c>
      <c r="E164">
        <f t="shared" si="79"/>
        <v>1</v>
      </c>
      <c r="F164">
        <f t="shared" si="79"/>
        <v>1</v>
      </c>
      <c r="G164">
        <f t="shared" si="79"/>
        <v>1</v>
      </c>
      <c r="H164">
        <f t="shared" si="79"/>
        <v>1</v>
      </c>
      <c r="I164">
        <f t="shared" si="79"/>
        <v>1</v>
      </c>
      <c r="J164">
        <f t="shared" si="79"/>
        <v>1</v>
      </c>
      <c r="K164">
        <f t="shared" si="79"/>
        <v>1</v>
      </c>
      <c r="L164">
        <f t="shared" si="79"/>
        <v>1</v>
      </c>
      <c r="M164">
        <f t="shared" si="79"/>
        <v>1</v>
      </c>
      <c r="N164">
        <f t="shared" si="80"/>
        <v>1</v>
      </c>
      <c r="O164">
        <f t="shared" si="80"/>
        <v>1</v>
      </c>
      <c r="P164">
        <f t="shared" si="80"/>
        <v>1</v>
      </c>
      <c r="Q164">
        <f t="shared" si="80"/>
        <v>1</v>
      </c>
      <c r="R164">
        <f t="shared" si="80"/>
        <v>1</v>
      </c>
      <c r="S164">
        <f t="shared" si="80"/>
        <v>1</v>
      </c>
      <c r="T164">
        <f t="shared" si="80"/>
        <v>1</v>
      </c>
      <c r="U164">
        <f t="shared" si="80"/>
        <v>1</v>
      </c>
      <c r="V164">
        <f t="shared" si="80"/>
        <v>1</v>
      </c>
      <c r="W164">
        <f t="shared" si="80"/>
        <v>1</v>
      </c>
    </row>
    <row r="165" spans="1:23" x14ac:dyDescent="0.2">
      <c r="A165" s="1">
        <f>+A166+dy</f>
        <v>0.5</v>
      </c>
      <c r="D165">
        <f t="shared" si="79"/>
        <v>1</v>
      </c>
      <c r="E165">
        <f t="shared" si="79"/>
        <v>1</v>
      </c>
      <c r="F165">
        <f t="shared" si="79"/>
        <v>1</v>
      </c>
      <c r="G165">
        <f t="shared" si="79"/>
        <v>1</v>
      </c>
      <c r="H165">
        <f t="shared" si="79"/>
        <v>1</v>
      </c>
      <c r="I165">
        <f t="shared" si="79"/>
        <v>1</v>
      </c>
      <c r="J165">
        <f t="shared" si="79"/>
        <v>1</v>
      </c>
      <c r="K165">
        <f t="shared" si="79"/>
        <v>1</v>
      </c>
      <c r="L165">
        <f t="shared" si="79"/>
        <v>1</v>
      </c>
      <c r="M165">
        <f t="shared" si="79"/>
        <v>1</v>
      </c>
      <c r="N165">
        <f t="shared" si="80"/>
        <v>1</v>
      </c>
      <c r="O165">
        <f t="shared" si="80"/>
        <v>1</v>
      </c>
      <c r="P165">
        <f t="shared" si="80"/>
        <v>1</v>
      </c>
      <c r="Q165">
        <f t="shared" si="80"/>
        <v>1</v>
      </c>
      <c r="R165">
        <f t="shared" si="80"/>
        <v>1</v>
      </c>
      <c r="S165">
        <f t="shared" si="80"/>
        <v>1</v>
      </c>
      <c r="T165">
        <f t="shared" si="80"/>
        <v>1</v>
      </c>
      <c r="U165">
        <f t="shared" si="80"/>
        <v>1</v>
      </c>
      <c r="V165">
        <f t="shared" si="80"/>
        <v>1</v>
      </c>
      <c r="W165">
        <f t="shared" si="80"/>
        <v>1</v>
      </c>
    </row>
    <row r="166" spans="1:23" x14ac:dyDescent="0.2">
      <c r="A166" s="1">
        <v>0</v>
      </c>
      <c r="D166">
        <f t="shared" ref="D166:M176" si="81">IF(((d+Z)/(2*(az*D$155)^0.5))&gt;27,1,IF(((d+Z)/(2*(az*D$155)^0.5))&gt;0,ERF(((d+Z)/(2*(az*D$155)^0.5))),IF(((d+Z)/(2*(az*D$155)^0.5))&lt;-27,-1,-ERF(ABS(((d+Z)/(2*(az*D$155)^0.5)))))))</f>
        <v>1</v>
      </c>
      <c r="E166">
        <f t="shared" si="81"/>
        <v>1</v>
      </c>
      <c r="F166">
        <f t="shared" si="81"/>
        <v>1</v>
      </c>
      <c r="G166">
        <f t="shared" si="81"/>
        <v>1</v>
      </c>
      <c r="H166">
        <f t="shared" si="81"/>
        <v>1</v>
      </c>
      <c r="I166">
        <f t="shared" si="81"/>
        <v>1</v>
      </c>
      <c r="J166">
        <f t="shared" si="81"/>
        <v>1</v>
      </c>
      <c r="K166">
        <f t="shared" si="81"/>
        <v>1</v>
      </c>
      <c r="L166">
        <f t="shared" si="81"/>
        <v>1</v>
      </c>
      <c r="M166">
        <f t="shared" si="81"/>
        <v>1</v>
      </c>
      <c r="N166">
        <f t="shared" ref="N166:W176" si="82">IF(((d+Z)/(2*(az*N$155)^0.5))&gt;27,1,IF(((d+Z)/(2*(az*N$155)^0.5))&gt;0,ERF(((d+Z)/(2*(az*N$155)^0.5))),IF(((d+Z)/(2*(az*N$155)^0.5))&lt;-27,-1,-ERF(ABS(((d+Z)/(2*(az*N$155)^0.5)))))))</f>
        <v>1</v>
      </c>
      <c r="O166">
        <f t="shared" si="82"/>
        <v>1</v>
      </c>
      <c r="P166">
        <f t="shared" si="82"/>
        <v>1</v>
      </c>
      <c r="Q166">
        <f t="shared" si="82"/>
        <v>1</v>
      </c>
      <c r="R166">
        <f t="shared" si="82"/>
        <v>1</v>
      </c>
      <c r="S166">
        <f t="shared" si="82"/>
        <v>1</v>
      </c>
      <c r="T166">
        <f t="shared" si="82"/>
        <v>1</v>
      </c>
      <c r="U166">
        <f t="shared" si="82"/>
        <v>1</v>
      </c>
      <c r="V166">
        <f t="shared" si="82"/>
        <v>1</v>
      </c>
      <c r="W166">
        <f t="shared" si="82"/>
        <v>1</v>
      </c>
    </row>
    <row r="167" spans="1:23" x14ac:dyDescent="0.2">
      <c r="A167" s="1">
        <f>+A166+dy</f>
        <v>0.5</v>
      </c>
      <c r="D167">
        <f t="shared" si="81"/>
        <v>1</v>
      </c>
      <c r="E167">
        <f t="shared" si="81"/>
        <v>1</v>
      </c>
      <c r="F167">
        <f t="shared" si="81"/>
        <v>1</v>
      </c>
      <c r="G167">
        <f t="shared" si="81"/>
        <v>1</v>
      </c>
      <c r="H167">
        <f t="shared" si="81"/>
        <v>1</v>
      </c>
      <c r="I167">
        <f t="shared" si="81"/>
        <v>1</v>
      </c>
      <c r="J167">
        <f t="shared" si="81"/>
        <v>1</v>
      </c>
      <c r="K167">
        <f t="shared" si="81"/>
        <v>1</v>
      </c>
      <c r="L167">
        <f t="shared" si="81"/>
        <v>1</v>
      </c>
      <c r="M167">
        <f t="shared" si="81"/>
        <v>1</v>
      </c>
      <c r="N167">
        <f t="shared" si="82"/>
        <v>1</v>
      </c>
      <c r="O167">
        <f t="shared" si="82"/>
        <v>1</v>
      </c>
      <c r="P167">
        <f t="shared" si="82"/>
        <v>1</v>
      </c>
      <c r="Q167">
        <f t="shared" si="82"/>
        <v>1</v>
      </c>
      <c r="R167">
        <f t="shared" si="82"/>
        <v>1</v>
      </c>
      <c r="S167">
        <f t="shared" si="82"/>
        <v>1</v>
      </c>
      <c r="T167">
        <f t="shared" si="82"/>
        <v>1</v>
      </c>
      <c r="U167">
        <f t="shared" si="82"/>
        <v>1</v>
      </c>
      <c r="V167">
        <f t="shared" si="82"/>
        <v>1</v>
      </c>
      <c r="W167">
        <f t="shared" si="82"/>
        <v>1</v>
      </c>
    </row>
    <row r="168" spans="1:23" x14ac:dyDescent="0.2">
      <c r="A168" s="1">
        <f t="shared" ref="A168:A176" si="83">+A167+dy</f>
        <v>1</v>
      </c>
      <c r="D168">
        <f t="shared" si="81"/>
        <v>1</v>
      </c>
      <c r="E168">
        <f t="shared" si="81"/>
        <v>1</v>
      </c>
      <c r="F168">
        <f t="shared" si="81"/>
        <v>1</v>
      </c>
      <c r="G168">
        <f t="shared" si="81"/>
        <v>1</v>
      </c>
      <c r="H168">
        <f t="shared" si="81"/>
        <v>1</v>
      </c>
      <c r="I168">
        <f t="shared" si="81"/>
        <v>1</v>
      </c>
      <c r="J168">
        <f t="shared" si="81"/>
        <v>1</v>
      </c>
      <c r="K168">
        <f t="shared" si="81"/>
        <v>1</v>
      </c>
      <c r="L168">
        <f t="shared" si="81"/>
        <v>1</v>
      </c>
      <c r="M168">
        <f t="shared" si="81"/>
        <v>1</v>
      </c>
      <c r="N168">
        <f t="shared" si="82"/>
        <v>1</v>
      </c>
      <c r="O168">
        <f t="shared" si="82"/>
        <v>1</v>
      </c>
      <c r="P168">
        <f t="shared" si="82"/>
        <v>1</v>
      </c>
      <c r="Q168">
        <f t="shared" si="82"/>
        <v>1</v>
      </c>
      <c r="R168">
        <f t="shared" si="82"/>
        <v>1</v>
      </c>
      <c r="S168">
        <f t="shared" si="82"/>
        <v>1</v>
      </c>
      <c r="T168">
        <f t="shared" si="82"/>
        <v>1</v>
      </c>
      <c r="U168">
        <f t="shared" si="82"/>
        <v>1</v>
      </c>
      <c r="V168">
        <f t="shared" si="82"/>
        <v>1</v>
      </c>
      <c r="W168">
        <f t="shared" si="82"/>
        <v>1</v>
      </c>
    </row>
    <row r="169" spans="1:23" x14ac:dyDescent="0.2">
      <c r="A169" s="1">
        <f t="shared" si="83"/>
        <v>1.5</v>
      </c>
      <c r="D169">
        <f t="shared" si="81"/>
        <v>1</v>
      </c>
      <c r="E169">
        <f t="shared" si="81"/>
        <v>1</v>
      </c>
      <c r="F169">
        <f t="shared" si="81"/>
        <v>1</v>
      </c>
      <c r="G169">
        <f t="shared" si="81"/>
        <v>1</v>
      </c>
      <c r="H169">
        <f t="shared" si="81"/>
        <v>1</v>
      </c>
      <c r="I169">
        <f t="shared" si="81"/>
        <v>1</v>
      </c>
      <c r="J169">
        <f t="shared" si="81"/>
        <v>1</v>
      </c>
      <c r="K169">
        <f t="shared" si="81"/>
        <v>1</v>
      </c>
      <c r="L169">
        <f t="shared" si="81"/>
        <v>1</v>
      </c>
      <c r="M169">
        <f t="shared" si="81"/>
        <v>1</v>
      </c>
      <c r="N169">
        <f t="shared" si="82"/>
        <v>1</v>
      </c>
      <c r="O169">
        <f t="shared" si="82"/>
        <v>1</v>
      </c>
      <c r="P169">
        <f t="shared" si="82"/>
        <v>1</v>
      </c>
      <c r="Q169">
        <f t="shared" si="82"/>
        <v>1</v>
      </c>
      <c r="R169">
        <f t="shared" si="82"/>
        <v>1</v>
      </c>
      <c r="S169">
        <f t="shared" si="82"/>
        <v>1</v>
      </c>
      <c r="T169">
        <f t="shared" si="82"/>
        <v>1</v>
      </c>
      <c r="U169">
        <f t="shared" si="82"/>
        <v>1</v>
      </c>
      <c r="V169">
        <f t="shared" si="82"/>
        <v>1</v>
      </c>
      <c r="W169">
        <f t="shared" si="82"/>
        <v>1</v>
      </c>
    </row>
    <row r="170" spans="1:23" x14ac:dyDescent="0.2">
      <c r="A170" s="1">
        <f t="shared" si="83"/>
        <v>2</v>
      </c>
      <c r="D170">
        <f t="shared" si="81"/>
        <v>1</v>
      </c>
      <c r="E170">
        <f t="shared" si="81"/>
        <v>1</v>
      </c>
      <c r="F170">
        <f t="shared" si="81"/>
        <v>1</v>
      </c>
      <c r="G170">
        <f t="shared" si="81"/>
        <v>1</v>
      </c>
      <c r="H170">
        <f t="shared" si="81"/>
        <v>1</v>
      </c>
      <c r="I170">
        <f t="shared" si="81"/>
        <v>1</v>
      </c>
      <c r="J170">
        <f t="shared" si="81"/>
        <v>1</v>
      </c>
      <c r="K170">
        <f t="shared" si="81"/>
        <v>1</v>
      </c>
      <c r="L170">
        <f t="shared" si="81"/>
        <v>1</v>
      </c>
      <c r="M170">
        <f t="shared" si="81"/>
        <v>1</v>
      </c>
      <c r="N170">
        <f t="shared" si="82"/>
        <v>1</v>
      </c>
      <c r="O170">
        <f t="shared" si="82"/>
        <v>1</v>
      </c>
      <c r="P170">
        <f t="shared" si="82"/>
        <v>1</v>
      </c>
      <c r="Q170">
        <f t="shared" si="82"/>
        <v>1</v>
      </c>
      <c r="R170">
        <f t="shared" si="82"/>
        <v>1</v>
      </c>
      <c r="S170">
        <f t="shared" si="82"/>
        <v>1</v>
      </c>
      <c r="T170">
        <f t="shared" si="82"/>
        <v>1</v>
      </c>
      <c r="U170">
        <f t="shared" si="82"/>
        <v>1</v>
      </c>
      <c r="V170">
        <f t="shared" si="82"/>
        <v>1</v>
      </c>
      <c r="W170">
        <f t="shared" si="82"/>
        <v>1</v>
      </c>
    </row>
    <row r="171" spans="1:23" x14ac:dyDescent="0.2">
      <c r="A171" s="1">
        <f t="shared" si="83"/>
        <v>2.5</v>
      </c>
      <c r="D171">
        <f t="shared" si="81"/>
        <v>1</v>
      </c>
      <c r="E171">
        <f t="shared" si="81"/>
        <v>1</v>
      </c>
      <c r="F171">
        <f t="shared" si="81"/>
        <v>1</v>
      </c>
      <c r="G171">
        <f t="shared" si="81"/>
        <v>1</v>
      </c>
      <c r="H171">
        <f t="shared" si="81"/>
        <v>1</v>
      </c>
      <c r="I171">
        <f t="shared" si="81"/>
        <v>1</v>
      </c>
      <c r="J171">
        <f t="shared" si="81"/>
        <v>1</v>
      </c>
      <c r="K171">
        <f t="shared" si="81"/>
        <v>1</v>
      </c>
      <c r="L171">
        <f t="shared" si="81"/>
        <v>1</v>
      </c>
      <c r="M171">
        <f t="shared" si="81"/>
        <v>1</v>
      </c>
      <c r="N171">
        <f t="shared" si="82"/>
        <v>1</v>
      </c>
      <c r="O171">
        <f t="shared" si="82"/>
        <v>1</v>
      </c>
      <c r="P171">
        <f t="shared" si="82"/>
        <v>1</v>
      </c>
      <c r="Q171">
        <f t="shared" si="82"/>
        <v>1</v>
      </c>
      <c r="R171">
        <f t="shared" si="82"/>
        <v>1</v>
      </c>
      <c r="S171">
        <f t="shared" si="82"/>
        <v>1</v>
      </c>
      <c r="T171">
        <f t="shared" si="82"/>
        <v>1</v>
      </c>
      <c r="U171">
        <f t="shared" si="82"/>
        <v>1</v>
      </c>
      <c r="V171">
        <f t="shared" si="82"/>
        <v>1</v>
      </c>
      <c r="W171">
        <f t="shared" si="82"/>
        <v>1</v>
      </c>
    </row>
    <row r="172" spans="1:23" x14ac:dyDescent="0.2">
      <c r="A172" s="1">
        <f t="shared" si="83"/>
        <v>3</v>
      </c>
      <c r="D172">
        <f t="shared" si="81"/>
        <v>1</v>
      </c>
      <c r="E172">
        <f t="shared" si="81"/>
        <v>1</v>
      </c>
      <c r="F172">
        <f t="shared" si="81"/>
        <v>1</v>
      </c>
      <c r="G172">
        <f t="shared" si="81"/>
        <v>1</v>
      </c>
      <c r="H172">
        <f t="shared" si="81"/>
        <v>1</v>
      </c>
      <c r="I172">
        <f t="shared" si="81"/>
        <v>1</v>
      </c>
      <c r="J172">
        <f t="shared" si="81"/>
        <v>1</v>
      </c>
      <c r="K172">
        <f t="shared" si="81"/>
        <v>1</v>
      </c>
      <c r="L172">
        <f t="shared" si="81"/>
        <v>1</v>
      </c>
      <c r="M172">
        <f t="shared" si="81"/>
        <v>1</v>
      </c>
      <c r="N172">
        <f t="shared" si="82"/>
        <v>1</v>
      </c>
      <c r="O172">
        <f t="shared" si="82"/>
        <v>1</v>
      </c>
      <c r="P172">
        <f t="shared" si="82"/>
        <v>1</v>
      </c>
      <c r="Q172">
        <f t="shared" si="82"/>
        <v>1</v>
      </c>
      <c r="R172">
        <f t="shared" si="82"/>
        <v>1</v>
      </c>
      <c r="S172">
        <f t="shared" si="82"/>
        <v>1</v>
      </c>
      <c r="T172">
        <f t="shared" si="82"/>
        <v>1</v>
      </c>
      <c r="U172">
        <f t="shared" si="82"/>
        <v>1</v>
      </c>
      <c r="V172">
        <f t="shared" si="82"/>
        <v>1</v>
      </c>
      <c r="W172">
        <f t="shared" si="82"/>
        <v>1</v>
      </c>
    </row>
    <row r="173" spans="1:23" x14ac:dyDescent="0.2">
      <c r="A173" s="1">
        <f t="shared" si="83"/>
        <v>3.5</v>
      </c>
      <c r="D173">
        <f t="shared" si="81"/>
        <v>1</v>
      </c>
      <c r="E173">
        <f t="shared" si="81"/>
        <v>1</v>
      </c>
      <c r="F173">
        <f t="shared" si="81"/>
        <v>1</v>
      </c>
      <c r="G173">
        <f t="shared" si="81"/>
        <v>1</v>
      </c>
      <c r="H173">
        <f t="shared" si="81"/>
        <v>1</v>
      </c>
      <c r="I173">
        <f t="shared" si="81"/>
        <v>1</v>
      </c>
      <c r="J173">
        <f t="shared" si="81"/>
        <v>1</v>
      </c>
      <c r="K173">
        <f t="shared" si="81"/>
        <v>1</v>
      </c>
      <c r="L173">
        <f t="shared" si="81"/>
        <v>1</v>
      </c>
      <c r="M173">
        <f t="shared" si="81"/>
        <v>1</v>
      </c>
      <c r="N173">
        <f t="shared" si="82"/>
        <v>1</v>
      </c>
      <c r="O173">
        <f t="shared" si="82"/>
        <v>1</v>
      </c>
      <c r="P173">
        <f t="shared" si="82"/>
        <v>1</v>
      </c>
      <c r="Q173">
        <f t="shared" si="82"/>
        <v>1</v>
      </c>
      <c r="R173">
        <f t="shared" si="82"/>
        <v>1</v>
      </c>
      <c r="S173">
        <f t="shared" si="82"/>
        <v>1</v>
      </c>
      <c r="T173">
        <f t="shared" si="82"/>
        <v>1</v>
      </c>
      <c r="U173">
        <f t="shared" si="82"/>
        <v>1</v>
      </c>
      <c r="V173">
        <f t="shared" si="82"/>
        <v>1</v>
      </c>
      <c r="W173">
        <f t="shared" si="82"/>
        <v>1</v>
      </c>
    </row>
    <row r="174" spans="1:23" x14ac:dyDescent="0.2">
      <c r="A174" s="1">
        <f t="shared" si="83"/>
        <v>4</v>
      </c>
      <c r="D174">
        <f t="shared" si="81"/>
        <v>1</v>
      </c>
      <c r="E174">
        <f t="shared" si="81"/>
        <v>1</v>
      </c>
      <c r="F174">
        <f t="shared" si="81"/>
        <v>1</v>
      </c>
      <c r="G174">
        <f t="shared" si="81"/>
        <v>1</v>
      </c>
      <c r="H174">
        <f t="shared" si="81"/>
        <v>1</v>
      </c>
      <c r="I174">
        <f t="shared" si="81"/>
        <v>1</v>
      </c>
      <c r="J174">
        <f t="shared" si="81"/>
        <v>1</v>
      </c>
      <c r="K174">
        <f t="shared" si="81"/>
        <v>1</v>
      </c>
      <c r="L174">
        <f t="shared" si="81"/>
        <v>1</v>
      </c>
      <c r="M174">
        <f t="shared" si="81"/>
        <v>1</v>
      </c>
      <c r="N174">
        <f t="shared" si="82"/>
        <v>1</v>
      </c>
      <c r="O174">
        <f t="shared" si="82"/>
        <v>1</v>
      </c>
      <c r="P174">
        <f t="shared" si="82"/>
        <v>1</v>
      </c>
      <c r="Q174">
        <f t="shared" si="82"/>
        <v>1</v>
      </c>
      <c r="R174">
        <f t="shared" si="82"/>
        <v>1</v>
      </c>
      <c r="S174">
        <f t="shared" si="82"/>
        <v>1</v>
      </c>
      <c r="T174">
        <f t="shared" si="82"/>
        <v>1</v>
      </c>
      <c r="U174">
        <f t="shared" si="82"/>
        <v>1</v>
      </c>
      <c r="V174">
        <f t="shared" si="82"/>
        <v>1</v>
      </c>
      <c r="W174">
        <f t="shared" si="82"/>
        <v>1</v>
      </c>
    </row>
    <row r="175" spans="1:23" x14ac:dyDescent="0.2">
      <c r="A175" s="1">
        <f t="shared" si="83"/>
        <v>4.5</v>
      </c>
      <c r="D175">
        <f t="shared" si="81"/>
        <v>1</v>
      </c>
      <c r="E175">
        <f t="shared" si="81"/>
        <v>1</v>
      </c>
      <c r="F175">
        <f t="shared" si="81"/>
        <v>1</v>
      </c>
      <c r="G175">
        <f t="shared" si="81"/>
        <v>1</v>
      </c>
      <c r="H175">
        <f t="shared" si="81"/>
        <v>1</v>
      </c>
      <c r="I175">
        <f t="shared" si="81"/>
        <v>1</v>
      </c>
      <c r="J175">
        <f t="shared" si="81"/>
        <v>1</v>
      </c>
      <c r="K175">
        <f t="shared" si="81"/>
        <v>1</v>
      </c>
      <c r="L175">
        <f t="shared" si="81"/>
        <v>1</v>
      </c>
      <c r="M175">
        <f t="shared" si="81"/>
        <v>1</v>
      </c>
      <c r="N175">
        <f t="shared" si="82"/>
        <v>1</v>
      </c>
      <c r="O175">
        <f t="shared" si="82"/>
        <v>1</v>
      </c>
      <c r="P175">
        <f t="shared" si="82"/>
        <v>1</v>
      </c>
      <c r="Q175">
        <f t="shared" si="82"/>
        <v>1</v>
      </c>
      <c r="R175">
        <f t="shared" si="82"/>
        <v>1</v>
      </c>
      <c r="S175">
        <f t="shared" si="82"/>
        <v>1</v>
      </c>
      <c r="T175">
        <f t="shared" si="82"/>
        <v>1</v>
      </c>
      <c r="U175">
        <f t="shared" si="82"/>
        <v>1</v>
      </c>
      <c r="V175">
        <f t="shared" si="82"/>
        <v>1</v>
      </c>
      <c r="W175">
        <f t="shared" si="82"/>
        <v>1</v>
      </c>
    </row>
    <row r="176" spans="1:23" x14ac:dyDescent="0.2">
      <c r="A176" s="1">
        <f t="shared" si="83"/>
        <v>5</v>
      </c>
      <c r="D176">
        <f t="shared" si="81"/>
        <v>1</v>
      </c>
      <c r="E176">
        <f t="shared" si="81"/>
        <v>1</v>
      </c>
      <c r="F176">
        <f t="shared" si="81"/>
        <v>1</v>
      </c>
      <c r="G176">
        <f t="shared" si="81"/>
        <v>1</v>
      </c>
      <c r="H176">
        <f t="shared" si="81"/>
        <v>1</v>
      </c>
      <c r="I176">
        <f t="shared" si="81"/>
        <v>1</v>
      </c>
      <c r="J176">
        <f t="shared" si="81"/>
        <v>1</v>
      </c>
      <c r="K176">
        <f t="shared" si="81"/>
        <v>1</v>
      </c>
      <c r="L176">
        <f t="shared" si="81"/>
        <v>1</v>
      </c>
      <c r="M176">
        <f t="shared" si="81"/>
        <v>1</v>
      </c>
      <c r="N176">
        <f t="shared" si="82"/>
        <v>1</v>
      </c>
      <c r="O176">
        <f t="shared" si="82"/>
        <v>1</v>
      </c>
      <c r="P176">
        <f t="shared" si="82"/>
        <v>1</v>
      </c>
      <c r="Q176">
        <f t="shared" si="82"/>
        <v>1</v>
      </c>
      <c r="R176">
        <f t="shared" si="82"/>
        <v>1</v>
      </c>
      <c r="S176">
        <f t="shared" si="82"/>
        <v>1</v>
      </c>
      <c r="T176">
        <f t="shared" si="82"/>
        <v>1</v>
      </c>
      <c r="U176">
        <f t="shared" si="82"/>
        <v>1</v>
      </c>
      <c r="V176">
        <f t="shared" si="82"/>
        <v>1</v>
      </c>
      <c r="W176">
        <f t="shared" si="82"/>
        <v>1</v>
      </c>
    </row>
    <row r="179" spans="1:23" x14ac:dyDescent="0.2">
      <c r="A179" t="s">
        <v>29</v>
      </c>
    </row>
    <row r="180" spans="1:23" x14ac:dyDescent="0.2">
      <c r="A180" t="s">
        <v>21</v>
      </c>
      <c r="B180" t="s">
        <v>22</v>
      </c>
      <c r="C180" s="2">
        <v>1E-3</v>
      </c>
      <c r="D180">
        <f>+C180+dx</f>
        <v>1.0009999999999999</v>
      </c>
      <c r="E180">
        <f t="shared" ref="E180:W180" si="84">+D180+dx</f>
        <v>2.0009999999999999</v>
      </c>
      <c r="F180">
        <f t="shared" si="84"/>
        <v>3.0009999999999999</v>
      </c>
      <c r="G180">
        <f t="shared" si="84"/>
        <v>4.0009999999999994</v>
      </c>
      <c r="H180">
        <f t="shared" si="84"/>
        <v>5.0009999999999994</v>
      </c>
      <c r="I180">
        <f t="shared" si="84"/>
        <v>6.0009999999999994</v>
      </c>
      <c r="J180">
        <f t="shared" si="84"/>
        <v>7.0009999999999994</v>
      </c>
      <c r="K180">
        <f t="shared" si="84"/>
        <v>8.0009999999999994</v>
      </c>
      <c r="L180">
        <f t="shared" si="84"/>
        <v>9.0009999999999994</v>
      </c>
      <c r="M180">
        <f t="shared" si="84"/>
        <v>10.000999999999999</v>
      </c>
      <c r="N180">
        <f t="shared" si="84"/>
        <v>11.000999999999999</v>
      </c>
      <c r="O180">
        <f t="shared" si="84"/>
        <v>12.000999999999999</v>
      </c>
      <c r="P180">
        <f t="shared" si="84"/>
        <v>13.000999999999999</v>
      </c>
      <c r="Q180">
        <f t="shared" si="84"/>
        <v>14.000999999999999</v>
      </c>
      <c r="R180">
        <f t="shared" si="84"/>
        <v>15.000999999999999</v>
      </c>
      <c r="S180">
        <f t="shared" si="84"/>
        <v>16.000999999999998</v>
      </c>
      <c r="T180">
        <f t="shared" si="84"/>
        <v>17.000999999999998</v>
      </c>
      <c r="U180">
        <f t="shared" si="84"/>
        <v>18.000999999999998</v>
      </c>
      <c r="V180">
        <f t="shared" si="84"/>
        <v>19.000999999999998</v>
      </c>
      <c r="W180">
        <f t="shared" si="84"/>
        <v>20.000999999999998</v>
      </c>
    </row>
    <row r="181" spans="1:23" x14ac:dyDescent="0.2">
      <c r="A181" s="1">
        <f t="shared" ref="A181:A189" si="85">+A182+dy</f>
        <v>5</v>
      </c>
      <c r="D181">
        <f t="shared" ref="D181:M190" si="86">IF(((d-Z)/(2*(az*D$180)^0.5))&gt;27,1,IF(((d-Z)/(2*(az*D$180)^0.5))&gt;0,ERF(((d-Z)/(2*(az*D$180)^0.5))),IF(((d-Z)/(2*(az*D$180)^0.5))&lt;-27,-1,-ERF(ABS(((d-Z)/(2*(az*D$180)^0.5)))))))</f>
        <v>-1</v>
      </c>
      <c r="E181">
        <f t="shared" si="86"/>
        <v>-1</v>
      </c>
      <c r="F181">
        <f t="shared" si="86"/>
        <v>-1</v>
      </c>
      <c r="G181">
        <f t="shared" si="86"/>
        <v>-1</v>
      </c>
      <c r="H181">
        <f t="shared" si="86"/>
        <v>-1</v>
      </c>
      <c r="I181">
        <f t="shared" si="86"/>
        <v>-1</v>
      </c>
      <c r="J181">
        <f t="shared" si="86"/>
        <v>-1</v>
      </c>
      <c r="K181">
        <f t="shared" si="86"/>
        <v>-1</v>
      </c>
      <c r="L181">
        <f t="shared" si="86"/>
        <v>-1</v>
      </c>
      <c r="M181">
        <f t="shared" si="86"/>
        <v>-1</v>
      </c>
      <c r="N181">
        <f t="shared" ref="N181:W190" si="87">IF(((d-Z)/(2*(az*N$180)^0.5))&gt;27,1,IF(((d-Z)/(2*(az*N$180)^0.5))&gt;0,ERF(((d-Z)/(2*(az*N$180)^0.5))),IF(((d-Z)/(2*(az*N$180)^0.5))&lt;-27,-1,-ERF(ABS(((d-Z)/(2*(az*N$180)^0.5)))))))</f>
        <v>-1</v>
      </c>
      <c r="O181">
        <f t="shared" si="87"/>
        <v>-1</v>
      </c>
      <c r="P181">
        <f t="shared" si="87"/>
        <v>-1</v>
      </c>
      <c r="Q181">
        <f t="shared" si="87"/>
        <v>-1</v>
      </c>
      <c r="R181">
        <f t="shared" si="87"/>
        <v>-1</v>
      </c>
      <c r="S181">
        <f t="shared" si="87"/>
        <v>-1</v>
      </c>
      <c r="T181">
        <f t="shared" si="87"/>
        <v>-1</v>
      </c>
      <c r="U181">
        <f t="shared" si="87"/>
        <v>-1</v>
      </c>
      <c r="V181">
        <f t="shared" si="87"/>
        <v>-1</v>
      </c>
      <c r="W181">
        <f t="shared" si="87"/>
        <v>-1</v>
      </c>
    </row>
    <row r="182" spans="1:23" x14ac:dyDescent="0.2">
      <c r="A182" s="1">
        <f t="shared" si="85"/>
        <v>4.5</v>
      </c>
      <c r="D182">
        <f t="shared" si="86"/>
        <v>-1</v>
      </c>
      <c r="E182">
        <f t="shared" si="86"/>
        <v>-1</v>
      </c>
      <c r="F182">
        <f t="shared" si="86"/>
        <v>-1</v>
      </c>
      <c r="G182">
        <f t="shared" si="86"/>
        <v>-1</v>
      </c>
      <c r="H182">
        <f t="shared" si="86"/>
        <v>-1</v>
      </c>
      <c r="I182">
        <f t="shared" si="86"/>
        <v>-1</v>
      </c>
      <c r="J182">
        <f t="shared" si="86"/>
        <v>-1</v>
      </c>
      <c r="K182">
        <f t="shared" si="86"/>
        <v>-1</v>
      </c>
      <c r="L182">
        <f t="shared" si="86"/>
        <v>-1</v>
      </c>
      <c r="M182">
        <f t="shared" si="86"/>
        <v>-1</v>
      </c>
      <c r="N182">
        <f t="shared" si="87"/>
        <v>-1</v>
      </c>
      <c r="O182">
        <f t="shared" si="87"/>
        <v>-1</v>
      </c>
      <c r="P182">
        <f t="shared" si="87"/>
        <v>-1</v>
      </c>
      <c r="Q182">
        <f t="shared" si="87"/>
        <v>-1</v>
      </c>
      <c r="R182">
        <f t="shared" si="87"/>
        <v>-1</v>
      </c>
      <c r="S182">
        <f t="shared" si="87"/>
        <v>-1</v>
      </c>
      <c r="T182">
        <f t="shared" si="87"/>
        <v>-1</v>
      </c>
      <c r="U182">
        <f t="shared" si="87"/>
        <v>-1</v>
      </c>
      <c r="V182">
        <f t="shared" si="87"/>
        <v>-1</v>
      </c>
      <c r="W182">
        <f t="shared" si="87"/>
        <v>-1</v>
      </c>
    </row>
    <row r="183" spans="1:23" x14ac:dyDescent="0.2">
      <c r="A183" s="1">
        <f t="shared" si="85"/>
        <v>4</v>
      </c>
      <c r="D183">
        <f t="shared" si="86"/>
        <v>-1</v>
      </c>
      <c r="E183">
        <f t="shared" si="86"/>
        <v>-1</v>
      </c>
      <c r="F183">
        <f t="shared" si="86"/>
        <v>-1</v>
      </c>
      <c r="G183">
        <f t="shared" si="86"/>
        <v>-1</v>
      </c>
      <c r="H183">
        <f t="shared" si="86"/>
        <v>-1</v>
      </c>
      <c r="I183">
        <f t="shared" si="86"/>
        <v>-1</v>
      </c>
      <c r="J183">
        <f t="shared" si="86"/>
        <v>-1</v>
      </c>
      <c r="K183">
        <f t="shared" si="86"/>
        <v>-1</v>
      </c>
      <c r="L183">
        <f t="shared" si="86"/>
        <v>-1</v>
      </c>
      <c r="M183">
        <f t="shared" si="86"/>
        <v>-1</v>
      </c>
      <c r="N183">
        <f t="shared" si="87"/>
        <v>-1</v>
      </c>
      <c r="O183">
        <f t="shared" si="87"/>
        <v>-1</v>
      </c>
      <c r="P183">
        <f t="shared" si="87"/>
        <v>-1</v>
      </c>
      <c r="Q183">
        <f t="shared" si="87"/>
        <v>-1</v>
      </c>
      <c r="R183">
        <f t="shared" si="87"/>
        <v>-1</v>
      </c>
      <c r="S183">
        <f t="shared" si="87"/>
        <v>-1</v>
      </c>
      <c r="T183">
        <f t="shared" si="87"/>
        <v>-1</v>
      </c>
      <c r="U183">
        <f t="shared" si="87"/>
        <v>-1</v>
      </c>
      <c r="V183">
        <f t="shared" si="87"/>
        <v>-1</v>
      </c>
      <c r="W183">
        <f t="shared" si="87"/>
        <v>-1</v>
      </c>
    </row>
    <row r="184" spans="1:23" x14ac:dyDescent="0.2">
      <c r="A184" s="1">
        <f t="shared" si="85"/>
        <v>3.5</v>
      </c>
      <c r="D184">
        <f t="shared" si="86"/>
        <v>-1</v>
      </c>
      <c r="E184">
        <f t="shared" si="86"/>
        <v>-1</v>
      </c>
      <c r="F184">
        <f t="shared" si="86"/>
        <v>-1</v>
      </c>
      <c r="G184">
        <f t="shared" si="86"/>
        <v>-1</v>
      </c>
      <c r="H184">
        <f t="shared" si="86"/>
        <v>-1</v>
      </c>
      <c r="I184">
        <f t="shared" si="86"/>
        <v>-1</v>
      </c>
      <c r="J184">
        <f t="shared" si="86"/>
        <v>-1</v>
      </c>
      <c r="K184">
        <f t="shared" si="86"/>
        <v>-1</v>
      </c>
      <c r="L184">
        <f t="shared" si="86"/>
        <v>-1</v>
      </c>
      <c r="M184">
        <f t="shared" si="86"/>
        <v>-1</v>
      </c>
      <c r="N184">
        <f t="shared" si="87"/>
        <v>-1</v>
      </c>
      <c r="O184">
        <f t="shared" si="87"/>
        <v>-1</v>
      </c>
      <c r="P184">
        <f t="shared" si="87"/>
        <v>-1</v>
      </c>
      <c r="Q184">
        <f t="shared" si="87"/>
        <v>-1</v>
      </c>
      <c r="R184">
        <f t="shared" si="87"/>
        <v>-1</v>
      </c>
      <c r="S184">
        <f t="shared" si="87"/>
        <v>-1</v>
      </c>
      <c r="T184">
        <f t="shared" si="87"/>
        <v>-1</v>
      </c>
      <c r="U184">
        <f t="shared" si="87"/>
        <v>-1</v>
      </c>
      <c r="V184">
        <f t="shared" si="87"/>
        <v>-1</v>
      </c>
      <c r="W184">
        <f t="shared" si="87"/>
        <v>-1</v>
      </c>
    </row>
    <row r="185" spans="1:23" x14ac:dyDescent="0.2">
      <c r="A185" s="1">
        <f t="shared" si="85"/>
        <v>3</v>
      </c>
      <c r="D185">
        <f t="shared" si="86"/>
        <v>-1</v>
      </c>
      <c r="E185">
        <f t="shared" si="86"/>
        <v>-1</v>
      </c>
      <c r="F185">
        <f t="shared" si="86"/>
        <v>-1</v>
      </c>
      <c r="G185">
        <f t="shared" si="86"/>
        <v>-1</v>
      </c>
      <c r="H185">
        <f t="shared" si="86"/>
        <v>-1</v>
      </c>
      <c r="I185">
        <f t="shared" si="86"/>
        <v>-1</v>
      </c>
      <c r="J185">
        <f t="shared" si="86"/>
        <v>-1</v>
      </c>
      <c r="K185">
        <f t="shared" si="86"/>
        <v>-1</v>
      </c>
      <c r="L185">
        <f t="shared" si="86"/>
        <v>-1</v>
      </c>
      <c r="M185">
        <f t="shared" si="86"/>
        <v>-1</v>
      </c>
      <c r="N185">
        <f t="shared" si="87"/>
        <v>-1</v>
      </c>
      <c r="O185">
        <f t="shared" si="87"/>
        <v>-1</v>
      </c>
      <c r="P185">
        <f t="shared" si="87"/>
        <v>-1</v>
      </c>
      <c r="Q185">
        <f t="shared" si="87"/>
        <v>-1</v>
      </c>
      <c r="R185">
        <f t="shared" si="87"/>
        <v>-1</v>
      </c>
      <c r="S185">
        <f t="shared" si="87"/>
        <v>-1</v>
      </c>
      <c r="T185">
        <f t="shared" si="87"/>
        <v>-1</v>
      </c>
      <c r="U185">
        <f t="shared" si="87"/>
        <v>-1</v>
      </c>
      <c r="V185">
        <f t="shared" si="87"/>
        <v>-1</v>
      </c>
      <c r="W185">
        <f t="shared" si="87"/>
        <v>-1</v>
      </c>
    </row>
    <row r="186" spans="1:23" x14ac:dyDescent="0.2">
      <c r="A186" s="1">
        <f t="shared" si="85"/>
        <v>2.5</v>
      </c>
      <c r="D186">
        <f t="shared" si="86"/>
        <v>-1</v>
      </c>
      <c r="E186">
        <f t="shared" si="86"/>
        <v>-1</v>
      </c>
      <c r="F186">
        <f t="shared" si="86"/>
        <v>-1</v>
      </c>
      <c r="G186">
        <f t="shared" si="86"/>
        <v>-1</v>
      </c>
      <c r="H186">
        <f t="shared" si="86"/>
        <v>-1</v>
      </c>
      <c r="I186">
        <f t="shared" si="86"/>
        <v>-1</v>
      </c>
      <c r="J186">
        <f t="shared" si="86"/>
        <v>-1</v>
      </c>
      <c r="K186">
        <f t="shared" si="86"/>
        <v>-1</v>
      </c>
      <c r="L186">
        <f t="shared" si="86"/>
        <v>-1</v>
      </c>
      <c r="M186">
        <f t="shared" si="86"/>
        <v>-1</v>
      </c>
      <c r="N186">
        <f t="shared" si="87"/>
        <v>-1</v>
      </c>
      <c r="O186">
        <f t="shared" si="87"/>
        <v>-1</v>
      </c>
      <c r="P186">
        <f t="shared" si="87"/>
        <v>-1</v>
      </c>
      <c r="Q186">
        <f t="shared" si="87"/>
        <v>-1</v>
      </c>
      <c r="R186">
        <f t="shared" si="87"/>
        <v>-1</v>
      </c>
      <c r="S186">
        <f t="shared" si="87"/>
        <v>-1</v>
      </c>
      <c r="T186">
        <f t="shared" si="87"/>
        <v>-1</v>
      </c>
      <c r="U186">
        <f t="shared" si="87"/>
        <v>-1</v>
      </c>
      <c r="V186">
        <f t="shared" si="87"/>
        <v>-1</v>
      </c>
      <c r="W186">
        <f t="shared" si="87"/>
        <v>-1</v>
      </c>
    </row>
    <row r="187" spans="1:23" x14ac:dyDescent="0.2">
      <c r="A187" s="1">
        <f t="shared" si="85"/>
        <v>2</v>
      </c>
      <c r="D187">
        <f t="shared" si="86"/>
        <v>-1</v>
      </c>
      <c r="E187">
        <f t="shared" si="86"/>
        <v>-1</v>
      </c>
      <c r="F187">
        <f t="shared" si="86"/>
        <v>-1</v>
      </c>
      <c r="G187">
        <f t="shared" si="86"/>
        <v>-1</v>
      </c>
      <c r="H187">
        <f t="shared" si="86"/>
        <v>-1</v>
      </c>
      <c r="I187">
        <f t="shared" si="86"/>
        <v>-1</v>
      </c>
      <c r="J187">
        <f t="shared" si="86"/>
        <v>-1</v>
      </c>
      <c r="K187">
        <f t="shared" si="86"/>
        <v>-1</v>
      </c>
      <c r="L187">
        <f t="shared" si="86"/>
        <v>-1</v>
      </c>
      <c r="M187">
        <f t="shared" si="86"/>
        <v>-1</v>
      </c>
      <c r="N187">
        <f t="shared" si="87"/>
        <v>-1</v>
      </c>
      <c r="O187">
        <f t="shared" si="87"/>
        <v>-1</v>
      </c>
      <c r="P187">
        <f t="shared" si="87"/>
        <v>-1</v>
      </c>
      <c r="Q187">
        <f t="shared" si="87"/>
        <v>-1</v>
      </c>
      <c r="R187">
        <f t="shared" si="87"/>
        <v>-1</v>
      </c>
      <c r="S187">
        <f t="shared" si="87"/>
        <v>-1</v>
      </c>
      <c r="T187">
        <f t="shared" si="87"/>
        <v>-1</v>
      </c>
      <c r="U187">
        <f t="shared" si="87"/>
        <v>-1</v>
      </c>
      <c r="V187">
        <f t="shared" si="87"/>
        <v>-1</v>
      </c>
      <c r="W187">
        <f t="shared" si="87"/>
        <v>-1</v>
      </c>
    </row>
    <row r="188" spans="1:23" x14ac:dyDescent="0.2">
      <c r="A188" s="1">
        <f t="shared" si="85"/>
        <v>1.5</v>
      </c>
      <c r="D188">
        <f t="shared" si="86"/>
        <v>-1</v>
      </c>
      <c r="E188">
        <f t="shared" si="86"/>
        <v>-1</v>
      </c>
      <c r="F188">
        <f t="shared" si="86"/>
        <v>-1</v>
      </c>
      <c r="G188">
        <f t="shared" si="86"/>
        <v>-1</v>
      </c>
      <c r="H188">
        <f t="shared" si="86"/>
        <v>-1</v>
      </c>
      <c r="I188">
        <f t="shared" si="86"/>
        <v>-1</v>
      </c>
      <c r="J188">
        <f t="shared" si="86"/>
        <v>-1</v>
      </c>
      <c r="K188">
        <f t="shared" si="86"/>
        <v>-1</v>
      </c>
      <c r="L188">
        <f t="shared" si="86"/>
        <v>-1</v>
      </c>
      <c r="M188">
        <f t="shared" si="86"/>
        <v>-1</v>
      </c>
      <c r="N188">
        <f t="shared" si="87"/>
        <v>-1</v>
      </c>
      <c r="O188">
        <f t="shared" si="87"/>
        <v>-1</v>
      </c>
      <c r="P188">
        <f t="shared" si="87"/>
        <v>-1</v>
      </c>
      <c r="Q188">
        <f t="shared" si="87"/>
        <v>-1</v>
      </c>
      <c r="R188">
        <f t="shared" si="87"/>
        <v>-1</v>
      </c>
      <c r="S188">
        <f t="shared" si="87"/>
        <v>-1</v>
      </c>
      <c r="T188">
        <f t="shared" si="87"/>
        <v>-1</v>
      </c>
      <c r="U188">
        <f t="shared" si="87"/>
        <v>-1</v>
      </c>
      <c r="V188">
        <f t="shared" si="87"/>
        <v>-1</v>
      </c>
      <c r="W188">
        <f t="shared" si="87"/>
        <v>-1</v>
      </c>
    </row>
    <row r="189" spans="1:23" x14ac:dyDescent="0.2">
      <c r="A189" s="1">
        <f t="shared" si="85"/>
        <v>1</v>
      </c>
      <c r="D189">
        <f t="shared" si="86"/>
        <v>-1</v>
      </c>
      <c r="E189">
        <f t="shared" si="86"/>
        <v>-1</v>
      </c>
      <c r="F189">
        <f t="shared" si="86"/>
        <v>-1</v>
      </c>
      <c r="G189">
        <f t="shared" si="86"/>
        <v>-1</v>
      </c>
      <c r="H189">
        <f t="shared" si="86"/>
        <v>-1</v>
      </c>
      <c r="I189">
        <f t="shared" si="86"/>
        <v>-1</v>
      </c>
      <c r="J189">
        <f t="shared" si="86"/>
        <v>-1</v>
      </c>
      <c r="K189">
        <f t="shared" si="86"/>
        <v>-1</v>
      </c>
      <c r="L189">
        <f t="shared" si="86"/>
        <v>-1</v>
      </c>
      <c r="M189">
        <f t="shared" si="86"/>
        <v>-1</v>
      </c>
      <c r="N189">
        <f t="shared" si="87"/>
        <v>-1</v>
      </c>
      <c r="O189">
        <f t="shared" si="87"/>
        <v>-1</v>
      </c>
      <c r="P189">
        <f t="shared" si="87"/>
        <v>-1</v>
      </c>
      <c r="Q189">
        <f t="shared" si="87"/>
        <v>-1</v>
      </c>
      <c r="R189">
        <f t="shared" si="87"/>
        <v>-1</v>
      </c>
      <c r="S189">
        <f t="shared" si="87"/>
        <v>-1</v>
      </c>
      <c r="T189">
        <f t="shared" si="87"/>
        <v>-1</v>
      </c>
      <c r="U189">
        <f t="shared" si="87"/>
        <v>-1</v>
      </c>
      <c r="V189">
        <f t="shared" si="87"/>
        <v>-1</v>
      </c>
      <c r="W189">
        <f t="shared" si="87"/>
        <v>-1</v>
      </c>
    </row>
    <row r="190" spans="1:23" x14ac:dyDescent="0.2">
      <c r="A190" s="1">
        <f>+A191+dy</f>
        <v>0.5</v>
      </c>
      <c r="D190">
        <f t="shared" si="86"/>
        <v>-1</v>
      </c>
      <c r="E190">
        <f t="shared" si="86"/>
        <v>-1</v>
      </c>
      <c r="F190">
        <f t="shared" si="86"/>
        <v>-1</v>
      </c>
      <c r="G190">
        <f t="shared" si="86"/>
        <v>-1</v>
      </c>
      <c r="H190">
        <f t="shared" si="86"/>
        <v>-1</v>
      </c>
      <c r="I190">
        <f t="shared" si="86"/>
        <v>-1</v>
      </c>
      <c r="J190">
        <f t="shared" si="86"/>
        <v>-1</v>
      </c>
      <c r="K190">
        <f t="shared" si="86"/>
        <v>-1</v>
      </c>
      <c r="L190">
        <f t="shared" si="86"/>
        <v>-1</v>
      </c>
      <c r="M190">
        <f t="shared" si="86"/>
        <v>-1</v>
      </c>
      <c r="N190">
        <f t="shared" si="87"/>
        <v>-1</v>
      </c>
      <c r="O190">
        <f t="shared" si="87"/>
        <v>-1</v>
      </c>
      <c r="P190">
        <f t="shared" si="87"/>
        <v>-1</v>
      </c>
      <c r="Q190">
        <f t="shared" si="87"/>
        <v>-1</v>
      </c>
      <c r="R190">
        <f t="shared" si="87"/>
        <v>-1</v>
      </c>
      <c r="S190">
        <f t="shared" si="87"/>
        <v>-1</v>
      </c>
      <c r="T190">
        <f t="shared" si="87"/>
        <v>-1</v>
      </c>
      <c r="U190">
        <f t="shared" si="87"/>
        <v>-1</v>
      </c>
      <c r="V190">
        <f t="shared" si="87"/>
        <v>-1</v>
      </c>
      <c r="W190">
        <f t="shared" si="87"/>
        <v>-1</v>
      </c>
    </row>
    <row r="191" spans="1:23" x14ac:dyDescent="0.2">
      <c r="A191" s="1">
        <v>0</v>
      </c>
      <c r="D191">
        <f t="shared" ref="D191:M201" si="88">IF(((d-Z)/(2*(az*D$180)^0.5))&gt;27,1,IF(((d-Z)/(2*(az*D$180)^0.5))&gt;0,ERF(((d-Z)/(2*(az*D$180)^0.5))),IF(((d-Z)/(2*(az*D$180)^0.5))&lt;-27,-1,-ERF(ABS(((d-Z)/(2*(az*D$180)^0.5)))))))</f>
        <v>-1</v>
      </c>
      <c r="E191">
        <f t="shared" si="88"/>
        <v>-1</v>
      </c>
      <c r="F191">
        <f t="shared" si="88"/>
        <v>-1</v>
      </c>
      <c r="G191">
        <f t="shared" si="88"/>
        <v>-1</v>
      </c>
      <c r="H191">
        <f t="shared" si="88"/>
        <v>-1</v>
      </c>
      <c r="I191">
        <f t="shared" si="88"/>
        <v>-1</v>
      </c>
      <c r="J191">
        <f t="shared" si="88"/>
        <v>-1</v>
      </c>
      <c r="K191">
        <f t="shared" si="88"/>
        <v>-1</v>
      </c>
      <c r="L191">
        <f t="shared" si="88"/>
        <v>-1</v>
      </c>
      <c r="M191">
        <f t="shared" si="88"/>
        <v>-1</v>
      </c>
      <c r="N191">
        <f t="shared" ref="N191:W201" si="89">IF(((d-Z)/(2*(az*N$180)^0.5))&gt;27,1,IF(((d-Z)/(2*(az*N$180)^0.5))&gt;0,ERF(((d-Z)/(2*(az*N$180)^0.5))),IF(((d-Z)/(2*(az*N$180)^0.5))&lt;-27,-1,-ERF(ABS(((d-Z)/(2*(az*N$180)^0.5)))))))</f>
        <v>-1</v>
      </c>
      <c r="O191">
        <f t="shared" si="89"/>
        <v>-1</v>
      </c>
      <c r="P191">
        <f t="shared" si="89"/>
        <v>-1</v>
      </c>
      <c r="Q191">
        <f t="shared" si="89"/>
        <v>-1</v>
      </c>
      <c r="R191">
        <f t="shared" si="89"/>
        <v>-1</v>
      </c>
      <c r="S191">
        <f t="shared" si="89"/>
        <v>-1</v>
      </c>
      <c r="T191">
        <f t="shared" si="89"/>
        <v>-1</v>
      </c>
      <c r="U191">
        <f t="shared" si="89"/>
        <v>-1</v>
      </c>
      <c r="V191">
        <f t="shared" si="89"/>
        <v>-1</v>
      </c>
      <c r="W191">
        <f t="shared" si="89"/>
        <v>-1</v>
      </c>
    </row>
    <row r="192" spans="1:23" x14ac:dyDescent="0.2">
      <c r="A192" s="1">
        <f>+A191+dy</f>
        <v>0.5</v>
      </c>
      <c r="D192">
        <f t="shared" si="88"/>
        <v>-1</v>
      </c>
      <c r="E192">
        <f t="shared" si="88"/>
        <v>-1</v>
      </c>
      <c r="F192">
        <f t="shared" si="88"/>
        <v>-1</v>
      </c>
      <c r="G192">
        <f t="shared" si="88"/>
        <v>-1</v>
      </c>
      <c r="H192">
        <f t="shared" si="88"/>
        <v>-1</v>
      </c>
      <c r="I192">
        <f t="shared" si="88"/>
        <v>-1</v>
      </c>
      <c r="J192">
        <f t="shared" si="88"/>
        <v>-1</v>
      </c>
      <c r="K192">
        <f t="shared" si="88"/>
        <v>-1</v>
      </c>
      <c r="L192">
        <f t="shared" si="88"/>
        <v>-1</v>
      </c>
      <c r="M192">
        <f t="shared" si="88"/>
        <v>-1</v>
      </c>
      <c r="N192">
        <f t="shared" si="89"/>
        <v>-1</v>
      </c>
      <c r="O192">
        <f t="shared" si="89"/>
        <v>-1</v>
      </c>
      <c r="P192">
        <f t="shared" si="89"/>
        <v>-1</v>
      </c>
      <c r="Q192">
        <f t="shared" si="89"/>
        <v>-1</v>
      </c>
      <c r="R192">
        <f t="shared" si="89"/>
        <v>-1</v>
      </c>
      <c r="S192">
        <f t="shared" si="89"/>
        <v>-1</v>
      </c>
      <c r="T192">
        <f t="shared" si="89"/>
        <v>-1</v>
      </c>
      <c r="U192">
        <f t="shared" si="89"/>
        <v>-1</v>
      </c>
      <c r="V192">
        <f t="shared" si="89"/>
        <v>-1</v>
      </c>
      <c r="W192">
        <f t="shared" si="89"/>
        <v>-1</v>
      </c>
    </row>
    <row r="193" spans="1:23" x14ac:dyDescent="0.2">
      <c r="A193" s="1">
        <f t="shared" ref="A193:A201" si="90">+A192+dy</f>
        <v>1</v>
      </c>
      <c r="D193">
        <f t="shared" si="88"/>
        <v>-1</v>
      </c>
      <c r="E193">
        <f t="shared" si="88"/>
        <v>-1</v>
      </c>
      <c r="F193">
        <f t="shared" si="88"/>
        <v>-1</v>
      </c>
      <c r="G193">
        <f t="shared" si="88"/>
        <v>-1</v>
      </c>
      <c r="H193">
        <f t="shared" si="88"/>
        <v>-1</v>
      </c>
      <c r="I193">
        <f t="shared" si="88"/>
        <v>-1</v>
      </c>
      <c r="J193">
        <f t="shared" si="88"/>
        <v>-1</v>
      </c>
      <c r="K193">
        <f t="shared" si="88"/>
        <v>-1</v>
      </c>
      <c r="L193">
        <f t="shared" si="88"/>
        <v>-1</v>
      </c>
      <c r="M193">
        <f t="shared" si="88"/>
        <v>-1</v>
      </c>
      <c r="N193">
        <f t="shared" si="89"/>
        <v>-1</v>
      </c>
      <c r="O193">
        <f t="shared" si="89"/>
        <v>-1</v>
      </c>
      <c r="P193">
        <f t="shared" si="89"/>
        <v>-1</v>
      </c>
      <c r="Q193">
        <f t="shared" si="89"/>
        <v>-1</v>
      </c>
      <c r="R193">
        <f t="shared" si="89"/>
        <v>-1</v>
      </c>
      <c r="S193">
        <f t="shared" si="89"/>
        <v>-1</v>
      </c>
      <c r="T193">
        <f t="shared" si="89"/>
        <v>-1</v>
      </c>
      <c r="U193">
        <f t="shared" si="89"/>
        <v>-1</v>
      </c>
      <c r="V193">
        <f t="shared" si="89"/>
        <v>-1</v>
      </c>
      <c r="W193">
        <f t="shared" si="89"/>
        <v>-1</v>
      </c>
    </row>
    <row r="194" spans="1:23" x14ac:dyDescent="0.2">
      <c r="A194" s="1">
        <f t="shared" si="90"/>
        <v>1.5</v>
      </c>
      <c r="D194">
        <f t="shared" si="88"/>
        <v>-1</v>
      </c>
      <c r="E194">
        <f t="shared" si="88"/>
        <v>-1</v>
      </c>
      <c r="F194">
        <f t="shared" si="88"/>
        <v>-1</v>
      </c>
      <c r="G194">
        <f t="shared" si="88"/>
        <v>-1</v>
      </c>
      <c r="H194">
        <f t="shared" si="88"/>
        <v>-1</v>
      </c>
      <c r="I194">
        <f t="shared" si="88"/>
        <v>-1</v>
      </c>
      <c r="J194">
        <f t="shared" si="88"/>
        <v>-1</v>
      </c>
      <c r="K194">
        <f t="shared" si="88"/>
        <v>-1</v>
      </c>
      <c r="L194">
        <f t="shared" si="88"/>
        <v>-1</v>
      </c>
      <c r="M194">
        <f t="shared" si="88"/>
        <v>-1</v>
      </c>
      <c r="N194">
        <f t="shared" si="89"/>
        <v>-1</v>
      </c>
      <c r="O194">
        <f t="shared" si="89"/>
        <v>-1</v>
      </c>
      <c r="P194">
        <f t="shared" si="89"/>
        <v>-1</v>
      </c>
      <c r="Q194">
        <f t="shared" si="89"/>
        <v>-1</v>
      </c>
      <c r="R194">
        <f t="shared" si="89"/>
        <v>-1</v>
      </c>
      <c r="S194">
        <f t="shared" si="89"/>
        <v>-1</v>
      </c>
      <c r="T194">
        <f t="shared" si="89"/>
        <v>-1</v>
      </c>
      <c r="U194">
        <f t="shared" si="89"/>
        <v>-1</v>
      </c>
      <c r="V194">
        <f t="shared" si="89"/>
        <v>-1</v>
      </c>
      <c r="W194">
        <f t="shared" si="89"/>
        <v>-1</v>
      </c>
    </row>
    <row r="195" spans="1:23" x14ac:dyDescent="0.2">
      <c r="A195" s="1">
        <f t="shared" si="90"/>
        <v>2</v>
      </c>
      <c r="D195">
        <f t="shared" si="88"/>
        <v>-1</v>
      </c>
      <c r="E195">
        <f t="shared" si="88"/>
        <v>-1</v>
      </c>
      <c r="F195">
        <f t="shared" si="88"/>
        <v>-1</v>
      </c>
      <c r="G195">
        <f t="shared" si="88"/>
        <v>-1</v>
      </c>
      <c r="H195">
        <f t="shared" si="88"/>
        <v>-1</v>
      </c>
      <c r="I195">
        <f t="shared" si="88"/>
        <v>-1</v>
      </c>
      <c r="J195">
        <f t="shared" si="88"/>
        <v>-1</v>
      </c>
      <c r="K195">
        <f t="shared" si="88"/>
        <v>-1</v>
      </c>
      <c r="L195">
        <f t="shared" si="88"/>
        <v>-1</v>
      </c>
      <c r="M195">
        <f t="shared" si="88"/>
        <v>-1</v>
      </c>
      <c r="N195">
        <f t="shared" si="89"/>
        <v>-1</v>
      </c>
      <c r="O195">
        <f t="shared" si="89"/>
        <v>-1</v>
      </c>
      <c r="P195">
        <f t="shared" si="89"/>
        <v>-1</v>
      </c>
      <c r="Q195">
        <f t="shared" si="89"/>
        <v>-1</v>
      </c>
      <c r="R195">
        <f t="shared" si="89"/>
        <v>-1</v>
      </c>
      <c r="S195">
        <f t="shared" si="89"/>
        <v>-1</v>
      </c>
      <c r="T195">
        <f t="shared" si="89"/>
        <v>-1</v>
      </c>
      <c r="U195">
        <f t="shared" si="89"/>
        <v>-1</v>
      </c>
      <c r="V195">
        <f t="shared" si="89"/>
        <v>-1</v>
      </c>
      <c r="W195">
        <f t="shared" si="89"/>
        <v>-1</v>
      </c>
    </row>
    <row r="196" spans="1:23" x14ac:dyDescent="0.2">
      <c r="A196" s="1">
        <f t="shared" si="90"/>
        <v>2.5</v>
      </c>
      <c r="D196">
        <f t="shared" si="88"/>
        <v>-1</v>
      </c>
      <c r="E196">
        <f t="shared" si="88"/>
        <v>-1</v>
      </c>
      <c r="F196">
        <f t="shared" si="88"/>
        <v>-1</v>
      </c>
      <c r="G196">
        <f t="shared" si="88"/>
        <v>-1</v>
      </c>
      <c r="H196">
        <f t="shared" si="88"/>
        <v>-1</v>
      </c>
      <c r="I196">
        <f t="shared" si="88"/>
        <v>-1</v>
      </c>
      <c r="J196">
        <f t="shared" si="88"/>
        <v>-1</v>
      </c>
      <c r="K196">
        <f t="shared" si="88"/>
        <v>-1</v>
      </c>
      <c r="L196">
        <f t="shared" si="88"/>
        <v>-1</v>
      </c>
      <c r="M196">
        <f t="shared" si="88"/>
        <v>-1</v>
      </c>
      <c r="N196">
        <f t="shared" si="89"/>
        <v>-1</v>
      </c>
      <c r="O196">
        <f t="shared" si="89"/>
        <v>-1</v>
      </c>
      <c r="P196">
        <f t="shared" si="89"/>
        <v>-1</v>
      </c>
      <c r="Q196">
        <f t="shared" si="89"/>
        <v>-1</v>
      </c>
      <c r="R196">
        <f t="shared" si="89"/>
        <v>-1</v>
      </c>
      <c r="S196">
        <f t="shared" si="89"/>
        <v>-1</v>
      </c>
      <c r="T196">
        <f t="shared" si="89"/>
        <v>-1</v>
      </c>
      <c r="U196">
        <f t="shared" si="89"/>
        <v>-1</v>
      </c>
      <c r="V196">
        <f t="shared" si="89"/>
        <v>-1</v>
      </c>
      <c r="W196">
        <f t="shared" si="89"/>
        <v>-1</v>
      </c>
    </row>
    <row r="197" spans="1:23" x14ac:dyDescent="0.2">
      <c r="A197" s="1">
        <f t="shared" si="90"/>
        <v>3</v>
      </c>
      <c r="D197">
        <f t="shared" si="88"/>
        <v>-1</v>
      </c>
      <c r="E197">
        <f t="shared" si="88"/>
        <v>-1</v>
      </c>
      <c r="F197">
        <f t="shared" si="88"/>
        <v>-1</v>
      </c>
      <c r="G197">
        <f t="shared" si="88"/>
        <v>-1</v>
      </c>
      <c r="H197">
        <f t="shared" si="88"/>
        <v>-1</v>
      </c>
      <c r="I197">
        <f t="shared" si="88"/>
        <v>-1</v>
      </c>
      <c r="J197">
        <f t="shared" si="88"/>
        <v>-1</v>
      </c>
      <c r="K197">
        <f t="shared" si="88"/>
        <v>-1</v>
      </c>
      <c r="L197">
        <f t="shared" si="88"/>
        <v>-1</v>
      </c>
      <c r="M197">
        <f t="shared" si="88"/>
        <v>-1</v>
      </c>
      <c r="N197">
        <f t="shared" si="89"/>
        <v>-1</v>
      </c>
      <c r="O197">
        <f t="shared" si="89"/>
        <v>-1</v>
      </c>
      <c r="P197">
        <f t="shared" si="89"/>
        <v>-1</v>
      </c>
      <c r="Q197">
        <f t="shared" si="89"/>
        <v>-1</v>
      </c>
      <c r="R197">
        <f t="shared" si="89"/>
        <v>-1</v>
      </c>
      <c r="S197">
        <f t="shared" si="89"/>
        <v>-1</v>
      </c>
      <c r="T197">
        <f t="shared" si="89"/>
        <v>-1</v>
      </c>
      <c r="U197">
        <f t="shared" si="89"/>
        <v>-1</v>
      </c>
      <c r="V197">
        <f t="shared" si="89"/>
        <v>-1</v>
      </c>
      <c r="W197">
        <f t="shared" si="89"/>
        <v>-1</v>
      </c>
    </row>
    <row r="198" spans="1:23" x14ac:dyDescent="0.2">
      <c r="A198" s="1">
        <f t="shared" si="90"/>
        <v>3.5</v>
      </c>
      <c r="D198">
        <f t="shared" si="88"/>
        <v>-1</v>
      </c>
      <c r="E198">
        <f t="shared" si="88"/>
        <v>-1</v>
      </c>
      <c r="F198">
        <f t="shared" si="88"/>
        <v>-1</v>
      </c>
      <c r="G198">
        <f t="shared" si="88"/>
        <v>-1</v>
      </c>
      <c r="H198">
        <f t="shared" si="88"/>
        <v>-1</v>
      </c>
      <c r="I198">
        <f t="shared" si="88"/>
        <v>-1</v>
      </c>
      <c r="J198">
        <f t="shared" si="88"/>
        <v>-1</v>
      </c>
      <c r="K198">
        <f t="shared" si="88"/>
        <v>-1</v>
      </c>
      <c r="L198">
        <f t="shared" si="88"/>
        <v>-1</v>
      </c>
      <c r="M198">
        <f t="shared" si="88"/>
        <v>-1</v>
      </c>
      <c r="N198">
        <f t="shared" si="89"/>
        <v>-1</v>
      </c>
      <c r="O198">
        <f t="shared" si="89"/>
        <v>-1</v>
      </c>
      <c r="P198">
        <f t="shared" si="89"/>
        <v>-1</v>
      </c>
      <c r="Q198">
        <f t="shared" si="89"/>
        <v>-1</v>
      </c>
      <c r="R198">
        <f t="shared" si="89"/>
        <v>-1</v>
      </c>
      <c r="S198">
        <f t="shared" si="89"/>
        <v>-1</v>
      </c>
      <c r="T198">
        <f t="shared" si="89"/>
        <v>-1</v>
      </c>
      <c r="U198">
        <f t="shared" si="89"/>
        <v>-1</v>
      </c>
      <c r="V198">
        <f t="shared" si="89"/>
        <v>-1</v>
      </c>
      <c r="W198">
        <f t="shared" si="89"/>
        <v>-1</v>
      </c>
    </row>
    <row r="199" spans="1:23" x14ac:dyDescent="0.2">
      <c r="A199" s="1">
        <f t="shared" si="90"/>
        <v>4</v>
      </c>
      <c r="D199">
        <f t="shared" si="88"/>
        <v>-1</v>
      </c>
      <c r="E199">
        <f t="shared" si="88"/>
        <v>-1</v>
      </c>
      <c r="F199">
        <f t="shared" si="88"/>
        <v>-1</v>
      </c>
      <c r="G199">
        <f t="shared" si="88"/>
        <v>-1</v>
      </c>
      <c r="H199">
        <f t="shared" si="88"/>
        <v>-1</v>
      </c>
      <c r="I199">
        <f t="shared" si="88"/>
        <v>-1</v>
      </c>
      <c r="J199">
        <f t="shared" si="88"/>
        <v>-1</v>
      </c>
      <c r="K199">
        <f t="shared" si="88"/>
        <v>-1</v>
      </c>
      <c r="L199">
        <f t="shared" si="88"/>
        <v>-1</v>
      </c>
      <c r="M199">
        <f t="shared" si="88"/>
        <v>-1</v>
      </c>
      <c r="N199">
        <f t="shared" si="89"/>
        <v>-1</v>
      </c>
      <c r="O199">
        <f t="shared" si="89"/>
        <v>-1</v>
      </c>
      <c r="P199">
        <f t="shared" si="89"/>
        <v>-1</v>
      </c>
      <c r="Q199">
        <f t="shared" si="89"/>
        <v>-1</v>
      </c>
      <c r="R199">
        <f t="shared" si="89"/>
        <v>-1</v>
      </c>
      <c r="S199">
        <f t="shared" si="89"/>
        <v>-1</v>
      </c>
      <c r="T199">
        <f t="shared" si="89"/>
        <v>-1</v>
      </c>
      <c r="U199">
        <f t="shared" si="89"/>
        <v>-1</v>
      </c>
      <c r="V199">
        <f t="shared" si="89"/>
        <v>-1</v>
      </c>
      <c r="W199">
        <f t="shared" si="89"/>
        <v>-1</v>
      </c>
    </row>
    <row r="200" spans="1:23" x14ac:dyDescent="0.2">
      <c r="A200" s="1">
        <f t="shared" si="90"/>
        <v>4.5</v>
      </c>
      <c r="D200">
        <f t="shared" si="88"/>
        <v>-1</v>
      </c>
      <c r="E200">
        <f t="shared" si="88"/>
        <v>-1</v>
      </c>
      <c r="F200">
        <f t="shared" si="88"/>
        <v>-1</v>
      </c>
      <c r="G200">
        <f t="shared" si="88"/>
        <v>-1</v>
      </c>
      <c r="H200">
        <f t="shared" si="88"/>
        <v>-1</v>
      </c>
      <c r="I200">
        <f t="shared" si="88"/>
        <v>-1</v>
      </c>
      <c r="J200">
        <f t="shared" si="88"/>
        <v>-1</v>
      </c>
      <c r="K200">
        <f t="shared" si="88"/>
        <v>-1</v>
      </c>
      <c r="L200">
        <f t="shared" si="88"/>
        <v>-1</v>
      </c>
      <c r="M200">
        <f t="shared" si="88"/>
        <v>-1</v>
      </c>
      <c r="N200">
        <f t="shared" si="89"/>
        <v>-1</v>
      </c>
      <c r="O200">
        <f t="shared" si="89"/>
        <v>-1</v>
      </c>
      <c r="P200">
        <f t="shared" si="89"/>
        <v>-1</v>
      </c>
      <c r="Q200">
        <f t="shared" si="89"/>
        <v>-1</v>
      </c>
      <c r="R200">
        <f t="shared" si="89"/>
        <v>-1</v>
      </c>
      <c r="S200">
        <f t="shared" si="89"/>
        <v>-1</v>
      </c>
      <c r="T200">
        <f t="shared" si="89"/>
        <v>-1</v>
      </c>
      <c r="U200">
        <f t="shared" si="89"/>
        <v>-1</v>
      </c>
      <c r="V200">
        <f t="shared" si="89"/>
        <v>-1</v>
      </c>
      <c r="W200">
        <f t="shared" si="89"/>
        <v>-1</v>
      </c>
    </row>
    <row r="201" spans="1:23" x14ac:dyDescent="0.2">
      <c r="A201" s="1">
        <f t="shared" si="90"/>
        <v>5</v>
      </c>
      <c r="D201">
        <f t="shared" si="88"/>
        <v>-1</v>
      </c>
      <c r="E201">
        <f t="shared" si="88"/>
        <v>-1</v>
      </c>
      <c r="F201">
        <f t="shared" si="88"/>
        <v>-1</v>
      </c>
      <c r="G201">
        <f t="shared" si="88"/>
        <v>-1</v>
      </c>
      <c r="H201">
        <f t="shared" si="88"/>
        <v>-1</v>
      </c>
      <c r="I201">
        <f t="shared" si="88"/>
        <v>-1</v>
      </c>
      <c r="J201">
        <f t="shared" si="88"/>
        <v>-1</v>
      </c>
      <c r="K201">
        <f t="shared" si="88"/>
        <v>-1</v>
      </c>
      <c r="L201">
        <f t="shared" si="88"/>
        <v>-1</v>
      </c>
      <c r="M201">
        <f t="shared" si="88"/>
        <v>-1</v>
      </c>
      <c r="N201">
        <f t="shared" si="89"/>
        <v>-1</v>
      </c>
      <c r="O201">
        <f t="shared" si="89"/>
        <v>-1</v>
      </c>
      <c r="P201">
        <f t="shared" si="89"/>
        <v>-1</v>
      </c>
      <c r="Q201">
        <f t="shared" si="89"/>
        <v>-1</v>
      </c>
      <c r="R201">
        <f t="shared" si="89"/>
        <v>-1</v>
      </c>
      <c r="S201">
        <f t="shared" si="89"/>
        <v>-1</v>
      </c>
      <c r="T201">
        <f t="shared" si="89"/>
        <v>-1</v>
      </c>
      <c r="U201">
        <f t="shared" si="89"/>
        <v>-1</v>
      </c>
      <c r="V201">
        <f t="shared" si="89"/>
        <v>-1</v>
      </c>
      <c r="W201">
        <f t="shared" si="89"/>
        <v>-1</v>
      </c>
    </row>
  </sheetData>
  <sortState ref="AP55:AP67">
    <sortCondition ref="AP55"/>
  </sortState>
  <dataConsolidate/>
  <mergeCells count="6">
    <mergeCell ref="A23:C23"/>
    <mergeCell ref="W1:X1"/>
    <mergeCell ref="AC3:AD3"/>
    <mergeCell ref="AM3:AN3"/>
    <mergeCell ref="AC53:AD53"/>
    <mergeCell ref="AM53:AN53"/>
  </mergeCells>
  <phoneticPr fontId="0" type="noConversion"/>
  <printOptions gridLines="1" gridLinesSet="0"/>
  <pageMargins left="0.75" right="0.75" top="1" bottom="1" header="0.5" footer="0.5"/>
  <pageSetup scale="50" orientation="landscape" r:id="rId1"/>
  <headerFooter alignWithMargins="0">
    <oddHeader>&amp;F</oddHeader>
    <oddFooter>Page &amp;P</oddFooter>
  </headerFooter>
  <drawing r:id="rId2"/>
  <legacyDrawing r:id="rId3"/>
  <controls>
    <mc:AlternateContent xmlns:mc="http://schemas.openxmlformats.org/markup-compatibility/2006">
      <mc:Choice Requires="x14">
        <control shapeId="2056" r:id="rId4" name="Start">
          <controlPr defaultSize="0" autoLine="0" r:id="rId5">
            <anchor moveWithCells="1">
              <from>
                <xdr:col>2</xdr:col>
                <xdr:colOff>447675</xdr:colOff>
                <xdr:row>1</xdr:row>
                <xdr:rowOff>19050</xdr:rowOff>
              </from>
              <to>
                <xdr:col>3</xdr:col>
                <xdr:colOff>514350</xdr:colOff>
                <xdr:row>2</xdr:row>
                <xdr:rowOff>180975</xdr:rowOff>
              </to>
            </anchor>
          </controlPr>
        </control>
      </mc:Choice>
      <mc:Fallback>
        <control shapeId="2056" r:id="rId4" name="Star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vt:i4>
      </vt:variant>
    </vt:vector>
  </HeadingPairs>
  <TitlesOfParts>
    <vt:vector size="15" baseType="lpstr">
      <vt:lpstr>Instructions</vt:lpstr>
      <vt:lpstr>3Dwt</vt:lpstr>
      <vt:lpstr>'3Dwt'!ax</vt:lpstr>
      <vt:lpstr>'3Dwt'!ay</vt:lpstr>
      <vt:lpstr>'3Dwt'!az</vt:lpstr>
      <vt:lpstr>'3Dwt'!Co</vt:lpstr>
      <vt:lpstr>'3Dwt'!d</vt:lpstr>
      <vt:lpstr>dx</vt:lpstr>
      <vt:lpstr>dy</vt:lpstr>
      <vt:lpstr>'3Dwt'!k</vt:lpstr>
      <vt:lpstr>'3Dwt'!Print_Area</vt:lpstr>
      <vt:lpstr>'3Dwt'!t</vt:lpstr>
      <vt:lpstr>'3Dwt'!v</vt:lpstr>
      <vt:lpstr>'3Dwt'!Y</vt:lpstr>
      <vt:lpstr>'3Dwt'!Z</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J.F. Devlin</dc:creator>
  <cp:lastModifiedBy>devlin</cp:lastModifiedBy>
  <cp:lastPrinted>2005-02-15T01:37:53Z</cp:lastPrinted>
  <dcterms:created xsi:type="dcterms:W3CDTF">2002-01-22T18:24:26Z</dcterms:created>
  <dcterms:modified xsi:type="dcterms:W3CDTF">2013-05-19T15:32:14Z</dcterms:modified>
</cp:coreProperties>
</file>